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cli\OneDrive\Documents\APS Manager\Membership\Sept 2025 Membership update\"/>
    </mc:Choice>
  </mc:AlternateContent>
  <xr:revisionPtr revIDLastSave="0" documentId="8_{3236E52D-1D47-4FEA-927F-43E729629CE8}" xr6:coauthVersionLast="47" xr6:coauthVersionMax="47" xr10:uidLastSave="{00000000-0000-0000-0000-000000000000}"/>
  <bookViews>
    <workbookView xWindow="-108" yWindow="-108" windowWidth="23256" windowHeight="12456" xr2:uid="{20F8C8E4-1DB6-460C-A1BC-E2AA46950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4" i="1" l="1"/>
  <c r="L612" i="1"/>
  <c r="L605" i="1"/>
  <c r="L604" i="1"/>
  <c r="L603" i="1"/>
  <c r="L516" i="1"/>
  <c r="L504" i="1"/>
  <c r="L500" i="1"/>
  <c r="L480" i="1"/>
  <c r="L421" i="1"/>
  <c r="L399" i="1"/>
  <c r="L398" i="1"/>
  <c r="L372" i="1"/>
  <c r="L298" i="1"/>
  <c r="L286" i="1"/>
  <c r="L283" i="1"/>
  <c r="L202" i="1"/>
  <c r="L201" i="1"/>
  <c r="L199" i="1"/>
  <c r="L179" i="1"/>
  <c r="L142" i="1"/>
  <c r="L70" i="1"/>
  <c r="L56" i="1"/>
  <c r="L45" i="1"/>
  <c r="L30" i="1"/>
</calcChain>
</file>

<file path=xl/sharedStrings.xml><?xml version="1.0" encoding="utf-8"?>
<sst xmlns="http://schemas.openxmlformats.org/spreadsheetml/2006/main" count="9672" uniqueCount="3562">
  <si>
    <t>Aaron</t>
  </si>
  <si>
    <t>Castro</t>
  </si>
  <si>
    <t>Director, Business Development</t>
  </si>
  <si>
    <t>JPT Peptide Technologies</t>
  </si>
  <si>
    <t>40 Erie St.</t>
  </si>
  <si>
    <t>Suite 110</t>
  </si>
  <si>
    <t>Cambridge</t>
  </si>
  <si>
    <t>MA</t>
  </si>
  <si>
    <t>United States</t>
  </si>
  <si>
    <t>aaron.castro@jpt.com</t>
  </si>
  <si>
    <t>888-578-2660</t>
  </si>
  <si>
    <t>Yes</t>
  </si>
  <si>
    <t>Lindstrom</t>
  </si>
  <si>
    <t>Senior Scientist</t>
  </si>
  <si>
    <t>Neurocrine Biosciences</t>
  </si>
  <si>
    <t>6033 Edgewood Bend Ct</t>
  </si>
  <si>
    <t>San Diego</t>
  </si>
  <si>
    <t>CA</t>
  </si>
  <si>
    <t>alindstrom@neurocrine.com</t>
  </si>
  <si>
    <t>Aaron John</t>
  </si>
  <si>
    <t>Balana</t>
  </si>
  <si>
    <t>Insamo</t>
  </si>
  <si>
    <t>2250 Gellert boulevard apt 2412</t>
  </si>
  <si>
    <t>Apt 2</t>
  </si>
  <si>
    <t>South san francisco</t>
  </si>
  <si>
    <t>aaronbalana@gmail.com</t>
  </si>
  <si>
    <t>No</t>
  </si>
  <si>
    <t>Abha</t>
  </si>
  <si>
    <t>Dangi</t>
  </si>
  <si>
    <t>Dr.</t>
  </si>
  <si>
    <t>University of Notre Dame</t>
  </si>
  <si>
    <t>1532 Rosemay Ln</t>
  </si>
  <si>
    <t>Village Terre Apartment-A</t>
  </si>
  <si>
    <t>South Bend</t>
  </si>
  <si>
    <t>IN</t>
  </si>
  <si>
    <t>adangi@nd.edu</t>
  </si>
  <si>
    <t>India</t>
  </si>
  <si>
    <t>Postdoc</t>
  </si>
  <si>
    <t>Abhijith</t>
  </si>
  <si>
    <t>Saseendran Anitha</t>
  </si>
  <si>
    <t>Advisor</t>
  </si>
  <si>
    <t>Eli lilly and company</t>
  </si>
  <si>
    <t>7556 Charmant Dr Apt 1728</t>
  </si>
  <si>
    <t>San Diego, CA 92122-5057</t>
  </si>
  <si>
    <t>abhijithsa33@gmail.com</t>
  </si>
  <si>
    <t>Achyut</t>
  </si>
  <si>
    <t>Dahal</t>
  </si>
  <si>
    <t>Post-Doctoral Fellow</t>
  </si>
  <si>
    <t>National Cancer Institute</t>
  </si>
  <si>
    <t>376 Chandler Street, Rm 219</t>
  </si>
  <si>
    <t>Frederick</t>
  </si>
  <si>
    <t>MD</t>
  </si>
  <si>
    <t>achyut.dahal@nih.gov</t>
  </si>
  <si>
    <t>Adam</t>
  </si>
  <si>
    <t>Mezo</t>
  </si>
  <si>
    <t>VP Research, Peptides and Bioconjugates</t>
  </si>
  <si>
    <t>6027 Edgewood Bend Court</t>
  </si>
  <si>
    <t>amezo@neurocrine.com</t>
  </si>
  <si>
    <t>858-617-7070</t>
  </si>
  <si>
    <t>Adel</t>
  </si>
  <si>
    <t>Nefzi</t>
  </si>
  <si>
    <t>Associate Professor</t>
  </si>
  <si>
    <t>Florida Internataional University</t>
  </si>
  <si>
    <t>11350 SW Village Parkway</t>
  </si>
  <si>
    <t>Port Saint Lucie</t>
  </si>
  <si>
    <t>FL</t>
  </si>
  <si>
    <t>anefzi@fiu.edu</t>
  </si>
  <si>
    <t>772-3454739</t>
  </si>
  <si>
    <t>Adeline</t>
  </si>
  <si>
    <t>Schmitt</t>
  </si>
  <si>
    <t>Mrs</t>
  </si>
  <si>
    <t>Laboratory of Organic Chemistry, ETH Zürich</t>
  </si>
  <si>
    <t>Vladimir-Prelog-Weg 3</t>
  </si>
  <si>
    <t>Zürich</t>
  </si>
  <si>
    <t>NA</t>
  </si>
  <si>
    <t>Switzerland</t>
  </si>
  <si>
    <t>adeline.schmitt@org.chem.ethz.ch</t>
  </si>
  <si>
    <t>+41 44 632 29 47</t>
  </si>
  <si>
    <t>Graduate Student</t>
  </si>
  <si>
    <t>Adriana</t>
  </si>
  <si>
    <t>Gauna</t>
  </si>
  <si>
    <t>PhD in Biotechnology</t>
  </si>
  <si>
    <t>ACCDIS (Advanced Center for Chronic Diseases), Facultad de Ciencias Químicas y Farmacéuticas, Universidad de Chile</t>
  </si>
  <si>
    <t>ACCDIS (Advanced Center for Chronic Diseases), Facultad de Ciencias Químicas y</t>
  </si>
  <si>
    <t>Farmacéuticas, Universidad de Chile, Santos Dumont 964</t>
  </si>
  <si>
    <t>Santiago de Chile</t>
  </si>
  <si>
    <t>Chile</t>
  </si>
  <si>
    <t>adrygauna@gmail.com</t>
  </si>
  <si>
    <t>+56 945407555</t>
  </si>
  <si>
    <t>Alain</t>
  </si>
  <si>
    <t>Ajamian</t>
  </si>
  <si>
    <t>Director of Business Development</t>
  </si>
  <si>
    <t>Chemical Computing Group</t>
  </si>
  <si>
    <t>1010 Sherbrooke Street West</t>
  </si>
  <si>
    <t>Suite 910</t>
  </si>
  <si>
    <t>Montreal</t>
  </si>
  <si>
    <t>PQ</t>
  </si>
  <si>
    <t>H3A 2R7</t>
  </si>
  <si>
    <t>Canada</t>
  </si>
  <si>
    <t>aajamian@chemcomp.com</t>
  </si>
  <si>
    <t>Alan</t>
  </si>
  <si>
    <t>Cameron</t>
  </si>
  <si>
    <t>Dr</t>
  </si>
  <si>
    <t>University of Auckland</t>
  </si>
  <si>
    <t>2 Symonds St</t>
  </si>
  <si>
    <t>Auckland</t>
  </si>
  <si>
    <t>New Zealand</t>
  </si>
  <si>
    <t>alan.cameron@auckland.ac.nz</t>
  </si>
  <si>
    <t>Alaric</t>
  </si>
  <si>
    <t>Desmarchelier</t>
  </si>
  <si>
    <t>Almac Group</t>
  </si>
  <si>
    <t>alaric.desmarchelier@almacgroup.com</t>
  </si>
  <si>
    <t>Albert</t>
  </si>
  <si>
    <t>Kakkis</t>
  </si>
  <si>
    <t>Scripps Research</t>
  </si>
  <si>
    <t>10550 North Torrey Pines Road</t>
  </si>
  <si>
    <t>La Jolla</t>
  </si>
  <si>
    <t>akakkis@scripps.edu</t>
  </si>
  <si>
    <t>858-784-8945</t>
  </si>
  <si>
    <t>A'Lester</t>
  </si>
  <si>
    <t>Allen</t>
  </si>
  <si>
    <t>IRACDA Postdoctoral Scholar</t>
  </si>
  <si>
    <t>University of Illinois Chicago</t>
  </si>
  <si>
    <t>833 S Wood Street</t>
  </si>
  <si>
    <t>Chicago</t>
  </si>
  <si>
    <t>IL</t>
  </si>
  <si>
    <t>60612-5126</t>
  </si>
  <si>
    <t>alestera@uic.edu</t>
  </si>
  <si>
    <t>Alex</t>
  </si>
  <si>
    <t>Doumas</t>
  </si>
  <si>
    <t>R&amp;D Manager</t>
  </si>
  <si>
    <t>Gyros Protein Technologies</t>
  </si>
  <si>
    <t>4675 S. Coach Drive</t>
  </si>
  <si>
    <t>Tucson</t>
  </si>
  <si>
    <t>AZ</t>
  </si>
  <si>
    <t>alex.doumas@gyrosproteintech.com</t>
  </si>
  <si>
    <t>520-629-9626</t>
  </si>
  <si>
    <t>Alexander</t>
  </si>
  <si>
    <t>Koval</t>
  </si>
  <si>
    <t>Scientist II</t>
  </si>
  <si>
    <t>Veranova</t>
  </si>
  <si>
    <t>2003 Nolte Dr.</t>
  </si>
  <si>
    <t>West Deptford</t>
  </si>
  <si>
    <t>NJ</t>
  </si>
  <si>
    <t>alexander.koval@veranova.com</t>
  </si>
  <si>
    <t>570-466-2715</t>
  </si>
  <si>
    <t>Riemen</t>
  </si>
  <si>
    <t>Bachem Americas, Inc.</t>
  </si>
  <si>
    <t>3132 Kashiwa Street</t>
  </si>
  <si>
    <t>Torrance</t>
  </si>
  <si>
    <t>Alexander.Riemen@bachem.com</t>
  </si>
  <si>
    <t>1 424 347 5677</t>
  </si>
  <si>
    <t>Zaykov</t>
  </si>
  <si>
    <t>Sr Director</t>
  </si>
  <si>
    <t>Penguin Bio</t>
  </si>
  <si>
    <t>1210 Waterway Blvd, Suite 2000</t>
  </si>
  <si>
    <t>INDIANAPOLIS</t>
  </si>
  <si>
    <t>azaykov@penguin.bio</t>
  </si>
  <si>
    <t>Alexander John</t>
  </si>
  <si>
    <t>Lander</t>
  </si>
  <si>
    <t>University of Basel</t>
  </si>
  <si>
    <t>Klingelbergstrasse 50</t>
  </si>
  <si>
    <t>Basel</t>
  </si>
  <si>
    <t>landeraj@unibas.ch</t>
  </si>
  <si>
    <t>+41 61 207 15 56</t>
  </si>
  <si>
    <t>Alexander Lund</t>
  </si>
  <si>
    <t>Nielsen</t>
  </si>
  <si>
    <t>Senior Scientist, PhD</t>
  </si>
  <si>
    <t>Novo Nordisk</t>
  </si>
  <si>
    <t>Novo Nordisk Park</t>
  </si>
  <si>
    <t>Måløv, Capital Region</t>
  </si>
  <si>
    <t>Denmark</t>
  </si>
  <si>
    <t>AXEE@novonordisk.com</t>
  </si>
  <si>
    <t>+45 34484638</t>
  </si>
  <si>
    <t>Alisha</t>
  </si>
  <si>
    <t>Doda</t>
  </si>
  <si>
    <t>University of Nebraska-Lincoln</t>
  </si>
  <si>
    <t>639 N12th st</t>
  </si>
  <si>
    <t>Hamilton Hall 818</t>
  </si>
  <si>
    <t>Lincoln</t>
  </si>
  <si>
    <t>NE</t>
  </si>
  <si>
    <t>adoda2@huskers.unl.edu</t>
  </si>
  <si>
    <t>402-601-5665</t>
  </si>
  <si>
    <t>Amarachi</t>
  </si>
  <si>
    <t>Osuji</t>
  </si>
  <si>
    <t>Tufts University</t>
  </si>
  <si>
    <t>15 Ferguson Road</t>
  </si>
  <si>
    <t>Malden</t>
  </si>
  <si>
    <t>amarachi.osuji@tufts.edu</t>
  </si>
  <si>
    <t>Amy</t>
  </si>
  <si>
    <t>Yang</t>
  </si>
  <si>
    <t>Ms</t>
  </si>
  <si>
    <t>New York University</t>
  </si>
  <si>
    <t>1136 65th Street</t>
  </si>
  <si>
    <t>BROOKLYN</t>
  </si>
  <si>
    <t>NY</t>
  </si>
  <si>
    <t>ay23@nyu.edu</t>
  </si>
  <si>
    <t>An</t>
  </si>
  <si>
    <t>Trinh</t>
  </si>
  <si>
    <t>University of Minnesota - Twin Cities</t>
  </si>
  <si>
    <t>8-101 Weaver-Densford Hall</t>
  </si>
  <si>
    <t>308 Harvard St SE</t>
  </si>
  <si>
    <t>Minneapolis</t>
  </si>
  <si>
    <t>MN</t>
  </si>
  <si>
    <t>trinh069@umn.edu</t>
  </si>
  <si>
    <t>612-624-9919</t>
  </si>
  <si>
    <t>Ana Salome</t>
  </si>
  <si>
    <t>Veiga</t>
  </si>
  <si>
    <t>Gulbenkian Institute for Molecular Medicine</t>
  </si>
  <si>
    <t>Fundação GIMM - Gulbenkian Institute For Molecular Medicine / VAT number: PT517 706 156</t>
  </si>
  <si>
    <t>Av. Prof. Egas Moniz</t>
  </si>
  <si>
    <t>Lisboa</t>
  </si>
  <si>
    <t>1649-035</t>
  </si>
  <si>
    <t>Portugal</t>
  </si>
  <si>
    <t>aveiga@medicina.ulisboa.pt</t>
  </si>
  <si>
    <t>Anamika</t>
  </si>
  <si>
    <t>Ghosh</t>
  </si>
  <si>
    <t>JIS Institute of Advanced Studies and Research (JISIASR) Kolkata</t>
  </si>
  <si>
    <t>8Q Roy Para Bye Lane, Sinthi, Kolkata, West Bengal, India</t>
  </si>
  <si>
    <t>Kolkata</t>
  </si>
  <si>
    <t>anamikaghosh2809@gmail.com</t>
  </si>
  <si>
    <t>Anandan</t>
  </si>
  <si>
    <t>Palani</t>
  </si>
  <si>
    <t>Vice President</t>
  </si>
  <si>
    <t>Parabilis Medicines</t>
  </si>
  <si>
    <t>23 Maple street</t>
  </si>
  <si>
    <t>Needham</t>
  </si>
  <si>
    <t>anandanpalani@yahoo.com</t>
  </si>
  <si>
    <t>908 883 0384</t>
  </si>
  <si>
    <t>Andre</t>
  </si>
  <si>
    <t>Dieskau</t>
  </si>
  <si>
    <t>Head of Peptides and Specialties</t>
  </si>
  <si>
    <t>Bayer AG - Pharmaceuticals</t>
  </si>
  <si>
    <t>Aprather Weg 18a</t>
  </si>
  <si>
    <t>Wuppertal</t>
  </si>
  <si>
    <t>Germany</t>
  </si>
  <si>
    <t>andre.dieskau@bayer.com</t>
  </si>
  <si>
    <t>Gohier</t>
  </si>
  <si>
    <t>Mr</t>
  </si>
  <si>
    <t>University of Utah</t>
  </si>
  <si>
    <t>828 e 2nd ave</t>
  </si>
  <si>
    <t>Salt Lake City</t>
  </si>
  <si>
    <t>UT</t>
  </si>
  <si>
    <t>u1476210@utah.edu</t>
  </si>
  <si>
    <t>Undergraduate Student</t>
  </si>
  <si>
    <t>Andrew</t>
  </si>
  <si>
    <t>Hong</t>
  </si>
  <si>
    <t>University of Rochester</t>
  </si>
  <si>
    <t>7650 McCallum Blvd Apt 910</t>
  </si>
  <si>
    <t>Dallas</t>
  </si>
  <si>
    <t>TX</t>
  </si>
  <si>
    <t>andrew.hong2@utdallas.edu</t>
  </si>
  <si>
    <t>Jamieson</t>
  </si>
  <si>
    <t>Professor</t>
  </si>
  <si>
    <t>University of Glasgow</t>
  </si>
  <si>
    <t>University Avenue</t>
  </si>
  <si>
    <t>Glasgow</t>
  </si>
  <si>
    <t>G12 8QQ</t>
  </si>
  <si>
    <t>United Kingdom</t>
  </si>
  <si>
    <t>andrew.jamieson.2@glasgow.ac.uk</t>
  </si>
  <si>
    <t>Powers</t>
  </si>
  <si>
    <t>University of Oregon</t>
  </si>
  <si>
    <t>2311 SE 11th ave Unit 1</t>
  </si>
  <si>
    <t>PORTLAND</t>
  </si>
  <si>
    <t>OR</t>
  </si>
  <si>
    <t>apowers4@uoregon.edu</t>
  </si>
  <si>
    <t>Roberts</t>
  </si>
  <si>
    <t>associate professor</t>
  </si>
  <si>
    <t>315 South 1400 East, HEB 2020</t>
  </si>
  <si>
    <t>roberts@chem.utah.edu</t>
  </si>
  <si>
    <t>Andrew John</t>
  </si>
  <si>
    <t>Wilson</t>
  </si>
  <si>
    <t>University of Birmingham</t>
  </si>
  <si>
    <t>School of Chemistry</t>
  </si>
  <si>
    <t>Birmingham</t>
  </si>
  <si>
    <t>B15 2TT</t>
  </si>
  <si>
    <t>a.j.wilson.1@bham.ac.uk</t>
  </si>
  <si>
    <t>+44(0)7984467326</t>
  </si>
  <si>
    <t>Andy</t>
  </si>
  <si>
    <t>Nguyen</t>
  </si>
  <si>
    <t>Assistant Professor</t>
  </si>
  <si>
    <t>845 W Taylor St</t>
  </si>
  <si>
    <t>andyn@uic.edu</t>
  </si>
  <si>
    <t>Anil</t>
  </si>
  <si>
    <t>Pandey</t>
  </si>
  <si>
    <t>UCB Biosciences</t>
  </si>
  <si>
    <t>87 Cambridgepark Dr</t>
  </si>
  <si>
    <t>anil.pandey@ucb.com</t>
  </si>
  <si>
    <t>Anjalee</t>
  </si>
  <si>
    <t>Wijewardane</t>
  </si>
  <si>
    <t>University of Alberta</t>
  </si>
  <si>
    <t>8920 100 Street</t>
  </si>
  <si>
    <t>Edmonton</t>
  </si>
  <si>
    <t>AB</t>
  </si>
  <si>
    <t>T6E2J2</t>
  </si>
  <si>
    <t>awijewar@ualberta.ca</t>
  </si>
  <si>
    <t>Anju</t>
  </si>
  <si>
    <t>Basnet</t>
  </si>
  <si>
    <t>Developing Competence Stimulating Peptide (CSP)-Based Quorum Sensing Modulators in S. sanguinis</t>
  </si>
  <si>
    <t>University of Nevada, Reno (UNR)</t>
  </si>
  <si>
    <t>823 Ralston St. Apt. 210</t>
  </si>
  <si>
    <t>Reno</t>
  </si>
  <si>
    <t>NV</t>
  </si>
  <si>
    <t>abasnet@unr.edu</t>
  </si>
  <si>
    <t>Ankur</t>
  </si>
  <si>
    <t>Jalan</t>
  </si>
  <si>
    <t>Senior Advisor (Chemistry)</t>
  </si>
  <si>
    <t>Eli Lilly and Company</t>
  </si>
  <si>
    <t>Lilly Technology Center-North</t>
  </si>
  <si>
    <t>1223 West Morris Street</t>
  </si>
  <si>
    <t>Indianapolis</t>
  </si>
  <si>
    <t>jalan_ankur@lilly.com</t>
  </si>
  <si>
    <t>Anna</t>
  </si>
  <si>
    <t>Mapp</t>
  </si>
  <si>
    <t>Edwin Vedejs Collegiate Professor of Chemistry</t>
  </si>
  <si>
    <t>University of Michigan</t>
  </si>
  <si>
    <t>210 Washtenaw Avenue</t>
  </si>
  <si>
    <t>Ann Arbor</t>
  </si>
  <si>
    <t>MI</t>
  </si>
  <si>
    <t>amapp@umich.edu</t>
  </si>
  <si>
    <t>Anna Maria</t>
  </si>
  <si>
    <t>Papini</t>
  </si>
  <si>
    <t>University of Florence, Interdepartmental Research Unit of Peptide and Protein Chemistry and Biology, Department of Chemistry "Ugo Schiff"</t>
  </si>
  <si>
    <t>Via della Lastruccia 13</t>
  </si>
  <si>
    <t>Sesto Fiorentino</t>
  </si>
  <si>
    <t>Italy</t>
  </si>
  <si>
    <t>annamaria.papini@unifi.it</t>
  </si>
  <si>
    <t>Annabelle</t>
  </si>
  <si>
    <t>Cantu</t>
  </si>
  <si>
    <t>Scientist</t>
  </si>
  <si>
    <t>Regeneron</t>
  </si>
  <si>
    <t>11331 Burnham St</t>
  </si>
  <si>
    <t>Los Angeles</t>
  </si>
  <si>
    <t>annabelle.cantu@regeneron.com</t>
  </si>
  <si>
    <t>Aphrodite</t>
  </si>
  <si>
    <t>Kapurniotu</t>
  </si>
  <si>
    <t>Technical University of Munich (TUM)</t>
  </si>
  <si>
    <t>Division Peptide Biochemistry / Technical University of Munich/ Emil-Erlenmeyer-Forum 5</t>
  </si>
  <si>
    <t>Freising</t>
  </si>
  <si>
    <t>akapurniotu@tum.de</t>
  </si>
  <si>
    <t>Ariel</t>
  </si>
  <si>
    <t>Kuhn</t>
  </si>
  <si>
    <t>Postdoctoral Fellow</t>
  </si>
  <si>
    <t>University of Wisconsin - Madison</t>
  </si>
  <si>
    <t>1101 University Ave.</t>
  </si>
  <si>
    <t>Department of Chemistry</t>
  </si>
  <si>
    <t>Madison</t>
  </si>
  <si>
    <t>WI</t>
  </si>
  <si>
    <t>akuhn7@wisc.edu</t>
  </si>
  <si>
    <t>arjun</t>
  </si>
  <si>
    <t>natarajan</t>
  </si>
  <si>
    <t>student</t>
  </si>
  <si>
    <t>University of California Los Angeles</t>
  </si>
  <si>
    <t>4908 via coronado</t>
  </si>
  <si>
    <t>NEWBURY PARK</t>
  </si>
  <si>
    <t>arjunnatarajan@g.ucla.edu</t>
  </si>
  <si>
    <t>Arunika</t>
  </si>
  <si>
    <t>Ekanayake</t>
  </si>
  <si>
    <t>Advisor Chemistry and chemical biology</t>
  </si>
  <si>
    <t>Protomer Technologies A wholly owned subsidiary of Eli Lilly and company</t>
  </si>
  <si>
    <t>26 N Euclid ave</t>
  </si>
  <si>
    <t>Pasadena</t>
  </si>
  <si>
    <t>Arunika.ekanayake@lilly.com</t>
  </si>
  <si>
    <t>Ashley</t>
  </si>
  <si>
    <t>Clemente</t>
  </si>
  <si>
    <t>Student</t>
  </si>
  <si>
    <t>Fordham University</t>
  </si>
  <si>
    <t>174 Barnes Road</t>
  </si>
  <si>
    <t>Washingtonville</t>
  </si>
  <si>
    <t>aclemente8@fordham.edu</t>
  </si>
  <si>
    <t>845-500-1695</t>
  </si>
  <si>
    <t>Smith</t>
  </si>
  <si>
    <t>California State University, Fullerton</t>
  </si>
  <si>
    <t>800 North State College Boulevard</t>
  </si>
  <si>
    <t>Fullerton</t>
  </si>
  <si>
    <t>amsmith5@csu.fullerton.edu</t>
  </si>
  <si>
    <t>Ashli</t>
  </si>
  <si>
    <t>Simone</t>
  </si>
  <si>
    <t>Business Development Senior Manager</t>
  </si>
  <si>
    <t>WuXi TIDES</t>
  </si>
  <si>
    <t>6114 Nancy Ridge Dr</t>
  </si>
  <si>
    <t>ashli.simone@wuxiapptec.com</t>
  </si>
  <si>
    <t>(858) 529-7646</t>
  </si>
  <si>
    <t>Ashutosh</t>
  </si>
  <si>
    <t>Agrahari</t>
  </si>
  <si>
    <t>Mr.</t>
  </si>
  <si>
    <t>Purdue University</t>
  </si>
  <si>
    <t>2550 Yeager Road, Apartment 7-12</t>
  </si>
  <si>
    <t>Beau Jardin</t>
  </si>
  <si>
    <t>West Lafayette</t>
  </si>
  <si>
    <t>aagraha@purdue.edu</t>
  </si>
  <si>
    <t>Ashweta</t>
  </si>
  <si>
    <t>Sahni</t>
  </si>
  <si>
    <t>Entrada Therapeutics</t>
  </si>
  <si>
    <t>138 Chestnut Ave</t>
  </si>
  <si>
    <t>Jamaica Plain</t>
  </si>
  <si>
    <t>asahni@entradatx.com</t>
  </si>
  <si>
    <t>Austin</t>
  </si>
  <si>
    <t>Schlirf</t>
  </si>
  <si>
    <t>Technical Specialist</t>
  </si>
  <si>
    <t>Biotage, LLC</t>
  </si>
  <si>
    <t>10430 Harris Oaks Blvd, Suite C</t>
  </si>
  <si>
    <t>Charlotte</t>
  </si>
  <si>
    <t>NC</t>
  </si>
  <si>
    <t>austin.schlirf@biotage.com</t>
  </si>
  <si>
    <t>Avraz</t>
  </si>
  <si>
    <t>Anwar</t>
  </si>
  <si>
    <t>Graduate Research Assistant</t>
  </si>
  <si>
    <t>5607 University park dr.</t>
  </si>
  <si>
    <t>Mishawaka</t>
  </si>
  <si>
    <t>aanwar@nd.edu</t>
  </si>
  <si>
    <t>Ayami</t>
  </si>
  <si>
    <t>Matsushima</t>
  </si>
  <si>
    <t>Kyushu University</t>
  </si>
  <si>
    <t>744 Motooka Nishi-ku</t>
  </si>
  <si>
    <t>Fukuoka</t>
  </si>
  <si>
    <t>819-0395</t>
  </si>
  <si>
    <t>Japan</t>
  </si>
  <si>
    <t>ayami@chem.kyushu-univ.jp</t>
  </si>
  <si>
    <t>Babu</t>
  </si>
  <si>
    <t>Boga</t>
  </si>
  <si>
    <t>Vice President of Medicinal Chemistry • Integrated Drug Discovery</t>
  </si>
  <si>
    <t>BioDuro</t>
  </si>
  <si>
    <t>9601 Jeronimo Road</t>
  </si>
  <si>
    <t>Irvine</t>
  </si>
  <si>
    <t>babu.boga@bioduro.com</t>
  </si>
  <si>
    <t>Balwant</t>
  </si>
  <si>
    <t>Patel</t>
  </si>
  <si>
    <t>Director</t>
  </si>
  <si>
    <t>IRBM</t>
  </si>
  <si>
    <t>6164 Laurelwood Drive</t>
  </si>
  <si>
    <t>b.patel@irbm.com</t>
  </si>
  <si>
    <t>Baosheng</t>
  </si>
  <si>
    <t>Liu</t>
  </si>
  <si>
    <t>Chief Solutions officer</t>
  </si>
  <si>
    <t>CPC Scientific</t>
  </si>
  <si>
    <t>1900 McCarthy Blvd, suite 204</t>
  </si>
  <si>
    <t>Milpitas</t>
  </si>
  <si>
    <t>baosheng.liu@cpcscientific.com</t>
  </si>
  <si>
    <t>408-734-3800</t>
  </si>
  <si>
    <t>Beate</t>
  </si>
  <si>
    <t>Koksch</t>
  </si>
  <si>
    <t>Prof. Dr.</t>
  </si>
  <si>
    <t>Freie Universität Berlin, Institute for Chemistry and Biochemistry</t>
  </si>
  <si>
    <t>Arnimallee 20</t>
  </si>
  <si>
    <t>Berlin</t>
  </si>
  <si>
    <t>beate.koksch@fu-berlin.de</t>
  </si>
  <si>
    <t>+49 30 83855344</t>
  </si>
  <si>
    <t>Beatriz G.</t>
  </si>
  <si>
    <t>de la Torre</t>
  </si>
  <si>
    <t>Research Professor</t>
  </si>
  <si>
    <t>University of Kwazulu-Natal</t>
  </si>
  <si>
    <t>Private Bag X54001</t>
  </si>
  <si>
    <t>Durban</t>
  </si>
  <si>
    <t>South Africa</t>
  </si>
  <si>
    <t>garciadelatorreb@ukzn.ac.za</t>
  </si>
  <si>
    <t>Spain</t>
  </si>
  <si>
    <t>Becky</t>
  </si>
  <si>
    <t>Song</t>
  </si>
  <si>
    <t>Director, Business Development in Business Development</t>
  </si>
  <si>
    <t>Asymchem, Inc</t>
  </si>
  <si>
    <t>600 Airport Blvd</t>
  </si>
  <si>
    <t>Suite 1000</t>
  </si>
  <si>
    <t>Morrisville</t>
  </si>
  <si>
    <t>beckysong@asymchem.com</t>
  </si>
  <si>
    <t>Beibei</t>
  </si>
  <si>
    <t>Meng</t>
  </si>
  <si>
    <t>Associate Director, Project Management</t>
  </si>
  <si>
    <t>meng_beibei@wuxiapptec.com</t>
  </si>
  <si>
    <t>Belinda</t>
  </si>
  <si>
    <t>Zhang</t>
  </si>
  <si>
    <t>Miss</t>
  </si>
  <si>
    <t>University of Sydney</t>
  </si>
  <si>
    <t>17 Northcliff Street</t>
  </si>
  <si>
    <t>Milsons Point</t>
  </si>
  <si>
    <t>NSW</t>
  </si>
  <si>
    <t>Australia</t>
  </si>
  <si>
    <t>belinda.zhang@sydney.edu.au</t>
  </si>
  <si>
    <t>+61 410638168</t>
  </si>
  <si>
    <t>Benjamin</t>
  </si>
  <si>
    <t>Tombling</t>
  </si>
  <si>
    <t>Genentech</t>
  </si>
  <si>
    <t>99 DNA Way</t>
  </si>
  <si>
    <t>South San Francisco</t>
  </si>
  <si>
    <t>tombling.benjamin@gene.com</t>
  </si>
  <si>
    <t>Betsy</t>
  </si>
  <si>
    <t>McKibben</t>
  </si>
  <si>
    <t>3567 Myrna Drive</t>
  </si>
  <si>
    <t>Pittsburgh</t>
  </si>
  <si>
    <t>PA</t>
  </si>
  <si>
    <t>b.mckibben@irbm.com</t>
  </si>
  <si>
    <t>Bijan</t>
  </si>
  <si>
    <t>Shoushtarizadeh</t>
  </si>
  <si>
    <t>binjin123@csu.fullerton.edu</t>
  </si>
  <si>
    <t>Bill</t>
  </si>
  <si>
    <t>McCrea</t>
  </si>
  <si>
    <t>Technical Sales Representative</t>
  </si>
  <si>
    <t>bill.mccrea@biotage.com</t>
  </si>
  <si>
    <t>Bimal</t>
  </si>
  <si>
    <t>Koirala</t>
  </si>
  <si>
    <t>Merck</t>
  </si>
  <si>
    <t>658 Union St</t>
  </si>
  <si>
    <t>Rahway</t>
  </si>
  <si>
    <t>bimal.koirala@merck.com</t>
  </si>
  <si>
    <t>Bin</t>
  </si>
  <si>
    <t>Sales Manager</t>
  </si>
  <si>
    <t>GL Biochem (Shanghai) Ltd</t>
  </si>
  <si>
    <t>519 ZIYUE ROAD,</t>
  </si>
  <si>
    <t>SHANGHAI</t>
  </si>
  <si>
    <t>China</t>
  </si>
  <si>
    <t>edward.zhang@glbiochem.com</t>
  </si>
  <si>
    <t>Binbin</t>
  </si>
  <si>
    <t>Kou</t>
  </si>
  <si>
    <t>Eccogene Inc.</t>
  </si>
  <si>
    <t>14183 Kodiak Dr.</t>
  </si>
  <si>
    <t>Carmel</t>
  </si>
  <si>
    <t>binbin.kou@eccogene.com</t>
  </si>
  <si>
    <t>Bipasana</t>
  </si>
  <si>
    <t>Shakya</t>
  </si>
  <si>
    <t>Eli Lilly</t>
  </si>
  <si>
    <t>7592 Charmant Dr Apt 2013</t>
  </si>
  <si>
    <t>San Diego, CA 92122-5080</t>
  </si>
  <si>
    <t>bipasana.shakya@lilly.com</t>
  </si>
  <si>
    <t>Bobo</t>
  </si>
  <si>
    <t>Dang</t>
  </si>
  <si>
    <t>Westlake University</t>
  </si>
  <si>
    <t>600 Dunyu Road, Xihu District</t>
  </si>
  <si>
    <t>Hangzhou</t>
  </si>
  <si>
    <t>dangbobo@westlake.edu.cn</t>
  </si>
  <si>
    <t>+86 18069850618</t>
  </si>
  <si>
    <t>Bradley</t>
  </si>
  <si>
    <t>Pentelute</t>
  </si>
  <si>
    <t>MIT</t>
  </si>
  <si>
    <t>77 Massachusetts Ave</t>
  </si>
  <si>
    <t>Cambrdige</t>
  </si>
  <si>
    <t>blp@mit.edu</t>
  </si>
  <si>
    <t>Braxten</t>
  </si>
  <si>
    <t>Hornsby</t>
  </si>
  <si>
    <t>1173 E. Zenith Ave.</t>
  </si>
  <si>
    <t>Millcreek</t>
  </si>
  <si>
    <t>braxten.hornsby@utah.edu</t>
  </si>
  <si>
    <t>208-339-8827</t>
  </si>
  <si>
    <t>Bree</t>
  </si>
  <si>
    <t>Iskandar</t>
  </si>
  <si>
    <t>Principal Scientist</t>
  </si>
  <si>
    <t>Dayra Therapeutics</t>
  </si>
  <si>
    <t>151 N First St</t>
  </si>
  <si>
    <t>Apt 0703</t>
  </si>
  <si>
    <t>brisk.64@gmail.com</t>
  </si>
  <si>
    <t>Brenda</t>
  </si>
  <si>
    <t>Karim</t>
  </si>
  <si>
    <t>Global Product Manager</t>
  </si>
  <si>
    <t>brenda.karim@gyrosproteintech.com</t>
  </si>
  <si>
    <t>(520) 534 1265</t>
  </si>
  <si>
    <t>Brett</t>
  </si>
  <si>
    <t>VanVeller</t>
  </si>
  <si>
    <t>Iowa State University</t>
  </si>
  <si>
    <t>3126 Hach Hall</t>
  </si>
  <si>
    <t>Ames</t>
  </si>
  <si>
    <t>IA</t>
  </si>
  <si>
    <t>bvv@iastate.edu</t>
  </si>
  <si>
    <t>515-294-7613</t>
  </si>
  <si>
    <t>Brian</t>
  </si>
  <si>
    <t>Kay</t>
  </si>
  <si>
    <t>CSO</t>
  </si>
  <si>
    <t>Tango Biosciences</t>
  </si>
  <si>
    <t>2201 W. Campbell Park Drive</t>
  </si>
  <si>
    <t>Suite 323</t>
  </si>
  <si>
    <t>60612-4092</t>
  </si>
  <si>
    <t>bkay@tangobio.com</t>
  </si>
  <si>
    <t>Brien</t>
  </si>
  <si>
    <t>McDonough</t>
  </si>
  <si>
    <t>Business Development Director</t>
  </si>
  <si>
    <t>AnaSpec</t>
  </si>
  <si>
    <t>34801 Campus Dr.</t>
  </si>
  <si>
    <t>Fremont</t>
  </si>
  <si>
    <t>b.mcdonough@anaspec.com</t>
  </si>
  <si>
    <t>Brittney</t>
  </si>
  <si>
    <t>Chau</t>
  </si>
  <si>
    <t>Boston College</t>
  </si>
  <si>
    <t>2609 Beacon St.</t>
  </si>
  <si>
    <t>Chestnut Hill</t>
  </si>
  <si>
    <t>brittney.chau@bc.edu</t>
  </si>
  <si>
    <t>Bruce</t>
  </si>
  <si>
    <t>LeRoy</t>
  </si>
  <si>
    <t>Research Fellow</t>
  </si>
  <si>
    <t>AbbVie</t>
  </si>
  <si>
    <t>555 Lakeview Parkway</t>
  </si>
  <si>
    <t>Apartment 343</t>
  </si>
  <si>
    <t>Vernon Hills</t>
  </si>
  <si>
    <t>bruce.leroy@abbvie.com</t>
  </si>
  <si>
    <t>Bryan</t>
  </si>
  <si>
    <t>Lampkin</t>
  </si>
  <si>
    <t>833 S. Wood St.</t>
  </si>
  <si>
    <t>College of Pharmacy, Room 333</t>
  </si>
  <si>
    <t>lampkinb@uic.edu</t>
  </si>
  <si>
    <t>312-355-0124</t>
  </si>
  <si>
    <t>Byoung</t>
  </si>
  <si>
    <t>Min</t>
  </si>
  <si>
    <t>Senior Director</t>
  </si>
  <si>
    <t>Eli Lilly and company</t>
  </si>
  <si>
    <t>1223 W Morris St</t>
  </si>
  <si>
    <t>byoung.min@lilly.com</t>
  </si>
  <si>
    <t>Caitlin</t>
  </si>
  <si>
    <t>Karver</t>
  </si>
  <si>
    <t>Associate Professor and Chair of Chemistry and Biochemistry</t>
  </si>
  <si>
    <t>DePaul University</t>
  </si>
  <si>
    <t>1110 W Belden Ave</t>
  </si>
  <si>
    <t>McGowan South 100</t>
  </si>
  <si>
    <t>ckarver@depaul.edu</t>
  </si>
  <si>
    <t>773-325-7365</t>
  </si>
  <si>
    <t>Cal</t>
  </si>
  <si>
    <t>McFeely</t>
  </si>
  <si>
    <t>Senior Advisor</t>
  </si>
  <si>
    <t>8686 Villa La jolla drive</t>
  </si>
  <si>
    <t>unit 3</t>
  </si>
  <si>
    <t>La jolla</t>
  </si>
  <si>
    <t>clinton.mcfeely@lilly.com</t>
  </si>
  <si>
    <t>Carly</t>
  </si>
  <si>
    <t>Schissel</t>
  </si>
  <si>
    <t>University of California, Berkeley</t>
  </si>
  <si>
    <t>2505 Virginia St</t>
  </si>
  <si>
    <t>Apt 10</t>
  </si>
  <si>
    <t>Berkeley</t>
  </si>
  <si>
    <t>ckschissel@gmail.com</t>
  </si>
  <si>
    <t>Caroline</t>
  </si>
  <si>
    <t>Almeida</t>
  </si>
  <si>
    <t>Doctor</t>
  </si>
  <si>
    <t>UFRJ</t>
  </si>
  <si>
    <t>70 Aspen Ln</t>
  </si>
  <si>
    <t>Stony Brook</t>
  </si>
  <si>
    <t>caroline.correa@biof.ufrj.br</t>
  </si>
  <si>
    <t>Carolynn</t>
  </si>
  <si>
    <t>Davern</t>
  </si>
  <si>
    <t>Vilya Therapeutics</t>
  </si>
  <si>
    <t>450 East Jamie Court</t>
  </si>
  <si>
    <t>Suite 101</t>
  </si>
  <si>
    <t>carolynn@vilyatx.com</t>
  </si>
  <si>
    <t>Carrie</t>
  </si>
  <si>
    <t>Haskell-Luevano</t>
  </si>
  <si>
    <t>University of Minnesota</t>
  </si>
  <si>
    <t>8-102 Weaver-Densford Hall, 308 Harvard Street SE</t>
  </si>
  <si>
    <t>chaskell@umn.edu</t>
  </si>
  <si>
    <t>Casey</t>
  </si>
  <si>
    <t>Krusemark</t>
  </si>
  <si>
    <t>575 Stadium Mall Drive</t>
  </si>
  <si>
    <t>RHPH 406C</t>
  </si>
  <si>
    <t>ckrusema@purdue.edu</t>
  </si>
  <si>
    <t>650-454-7613</t>
  </si>
  <si>
    <t>Catherine</t>
  </si>
  <si>
    <t>Gineste</t>
  </si>
  <si>
    <t>Technical Sales Manager</t>
  </si>
  <si>
    <t>Mimotopes</t>
  </si>
  <si>
    <t>PO Box 31615</t>
  </si>
  <si>
    <t>Henrico</t>
  </si>
  <si>
    <t>VA</t>
  </si>
  <si>
    <t>catherine_gineste@mimotopes.com</t>
  </si>
  <si>
    <t>Champak</t>
  </si>
  <si>
    <t>Chatterjee</t>
  </si>
  <si>
    <t>Professor of Chemistry</t>
  </si>
  <si>
    <t>University of Washington</t>
  </si>
  <si>
    <t>3057 NE 95th Street</t>
  </si>
  <si>
    <t>Seattle</t>
  </si>
  <si>
    <t>WA</t>
  </si>
  <si>
    <t>chatterjee@chem.washington.edu</t>
  </si>
  <si>
    <t>206-543-2349</t>
  </si>
  <si>
    <t>Chanelle</t>
  </si>
  <si>
    <t>DeLoach</t>
  </si>
  <si>
    <t>YMC America</t>
  </si>
  <si>
    <t>8 Charlestown Street</t>
  </si>
  <si>
    <t>Devens</t>
  </si>
  <si>
    <t>cdeloach@ymcamerica.com</t>
  </si>
  <si>
    <t>Charles</t>
  </si>
  <si>
    <t>Johannes</t>
  </si>
  <si>
    <t>chief scientist</t>
  </si>
  <si>
    <t>EPOC Scientific LLC</t>
  </si>
  <si>
    <t>12 fieldstone drive</t>
  </si>
  <si>
    <t>stoneham</t>
  </si>
  <si>
    <t>cwj@epocscientific.com</t>
  </si>
  <si>
    <t>Li</t>
  </si>
  <si>
    <t>President</t>
  </si>
  <si>
    <t>AAPPTec-ACT</t>
  </si>
  <si>
    <t>5609 Fern Valley Rd.</t>
  </si>
  <si>
    <t>Louisville</t>
  </si>
  <si>
    <t>KY</t>
  </si>
  <si>
    <t>xnli@tcpanalytical.com</t>
  </si>
  <si>
    <t>Chase</t>
  </si>
  <si>
    <t>Chen</t>
  </si>
  <si>
    <t>126 E Lincoln Ave</t>
  </si>
  <si>
    <t>peng-hsun.chen@merck.com</t>
  </si>
  <si>
    <t>Stebbing</t>
  </si>
  <si>
    <t>University of Nebraska - Lincoln</t>
  </si>
  <si>
    <t>941 Roanoke Ct</t>
  </si>
  <si>
    <t>Apt 12</t>
  </si>
  <si>
    <t>astebbing4@huskers.unl.edu</t>
  </si>
  <si>
    <t>402-314-4925</t>
  </si>
  <si>
    <t>Cheng Yi</t>
  </si>
  <si>
    <t>Chief Technical Officer, Chemistry in Tech</t>
  </si>
  <si>
    <t>ChenChengyi@asymchem.com</t>
  </si>
  <si>
    <t>(619) 629-9265</t>
  </si>
  <si>
    <t>Chengzao</t>
  </si>
  <si>
    <t>Sun</t>
  </si>
  <si>
    <t>Pinnacle Medicines</t>
  </si>
  <si>
    <t>2500 Erings Way</t>
  </si>
  <si>
    <t>Warrington</t>
  </si>
  <si>
    <t>chengzao@gmail.com</t>
  </si>
  <si>
    <t>858-405-2904</t>
  </si>
  <si>
    <t>Chenna Krishna</t>
  </si>
  <si>
    <t>Gundala</t>
  </si>
  <si>
    <t>Co-Founder and CTO</t>
  </si>
  <si>
    <t>GaloreTx Pharmaceuticals Private Limited</t>
  </si>
  <si>
    <t>No. 42, 7th Main, Vasundara Layout, Ananth Nagar Phase 3, Anekal</t>
  </si>
  <si>
    <t>Bengaluru</t>
  </si>
  <si>
    <t>chennag@gmail.com</t>
  </si>
  <si>
    <t>Cheryl</t>
  </si>
  <si>
    <t>Tajon</t>
  </si>
  <si>
    <t>50 Chumasero Drive, Apt 4A</t>
  </si>
  <si>
    <t>San Francisco</t>
  </si>
  <si>
    <t>cheryl@insamo.com</t>
  </si>
  <si>
    <t>Chi</t>
  </si>
  <si>
    <t>Ting</t>
  </si>
  <si>
    <t>Brandeis University</t>
  </si>
  <si>
    <t>415 South St.</t>
  </si>
  <si>
    <t>Waltham</t>
  </si>
  <si>
    <t>chiting@brandeis.edu</t>
  </si>
  <si>
    <t>312-218-4866</t>
  </si>
  <si>
    <t>Chia-Yuan</t>
  </si>
  <si>
    <t>Research Assistant</t>
  </si>
  <si>
    <t>University of Texas at Dallas</t>
  </si>
  <si>
    <t>17215 Texas Pistache Dr</t>
  </si>
  <si>
    <t>chiayuan.chen@utdallas.edu</t>
  </si>
  <si>
    <t>Chinmay</t>
  </si>
  <si>
    <t>Bhatt</t>
  </si>
  <si>
    <t>Research Associate</t>
  </si>
  <si>
    <t>Circle Pharma</t>
  </si>
  <si>
    <t>169 Harbor Way</t>
  </si>
  <si>
    <t>chinmay.bhatt@circlepharma.com</t>
  </si>
  <si>
    <t>CHITRA PANDIPARAMBIL</t>
  </si>
  <si>
    <t>SADANANDHAN</t>
  </si>
  <si>
    <t>UNIVERSITY DE MONTREAL</t>
  </si>
  <si>
    <t>2350, Edouard Montpetit Boulevard</t>
  </si>
  <si>
    <t>H3T1J4</t>
  </si>
  <si>
    <t>chitra.pandiparambil.sadanandhan@umontreal.ca</t>
  </si>
  <si>
    <t>Chloe</t>
  </si>
  <si>
    <t>Mitchell</t>
  </si>
  <si>
    <t>Field Application Scientist</t>
  </si>
  <si>
    <t>Chloe.mitchell@gyrosproteintech.com</t>
  </si>
  <si>
    <t>Chris</t>
  </si>
  <si>
    <t>Leitheiser</t>
  </si>
  <si>
    <t>NewCo/TBD</t>
  </si>
  <si>
    <t>79 Walnut St</t>
  </si>
  <si>
    <t>Arlington</t>
  </si>
  <si>
    <t>cleitheiser@comcast.net</t>
  </si>
  <si>
    <t>781-454-9413</t>
  </si>
  <si>
    <t>McGee</t>
  </si>
  <si>
    <t>Vice President &amp; Head, Global Business Development</t>
  </si>
  <si>
    <t>Bachem</t>
  </si>
  <si>
    <t>3132 Kashiwa St.</t>
  </si>
  <si>
    <t>Chris.McGee@bachem.com</t>
  </si>
  <si>
    <t>+1 310 218 8297</t>
  </si>
  <si>
    <t>Christian</t>
  </si>
  <si>
    <t>Becker</t>
  </si>
  <si>
    <t>Prof.</t>
  </si>
  <si>
    <t>University of Vienna</t>
  </si>
  <si>
    <t>Waehringer Str. 38</t>
  </si>
  <si>
    <t>Vienna</t>
  </si>
  <si>
    <t>WN</t>
  </si>
  <si>
    <t>Austria</t>
  </si>
  <si>
    <t>christian.becker@univie.ac.at</t>
  </si>
  <si>
    <t>+42 1427770510</t>
  </si>
  <si>
    <t>Christina</t>
  </si>
  <si>
    <t>Coby</t>
  </si>
  <si>
    <t>Associate Director, Marketing</t>
  </si>
  <si>
    <t>christina.coby@bioduro.com</t>
  </si>
  <si>
    <t>619 414 7409</t>
  </si>
  <si>
    <t>Schroeder</t>
  </si>
  <si>
    <t>Senior Fellow</t>
  </si>
  <si>
    <t>1 DNA Way</t>
  </si>
  <si>
    <t>schroeder.christina@gene.com</t>
  </si>
  <si>
    <t>Christopher</t>
  </si>
  <si>
    <t>Buckley</t>
  </si>
  <si>
    <t>Business Development Associate</t>
  </si>
  <si>
    <t>PolyPeptide Group</t>
  </si>
  <si>
    <t>365 Maple Avenue</t>
  </si>
  <si>
    <t>Christopher.Buckley@polypeptide.com</t>
  </si>
  <si>
    <t>Hughes</t>
  </si>
  <si>
    <t>University of Southern California</t>
  </si>
  <si>
    <t>3344 Castle Heights Ave</t>
  </si>
  <si>
    <t>Apt 106</t>
  </si>
  <si>
    <t>crhughes@usc.edu</t>
  </si>
  <si>
    <t>206-947-9372</t>
  </si>
  <si>
    <t>John</t>
  </si>
  <si>
    <t>Johnson and Johnson Innovative Medicine</t>
  </si>
  <si>
    <t>1400 McKean Rd</t>
  </si>
  <si>
    <t>Ambler</t>
  </si>
  <si>
    <t>cjohn10@its.jnj.com</t>
  </si>
  <si>
    <t>267 640 2380</t>
  </si>
  <si>
    <t>Plummer</t>
  </si>
  <si>
    <t>Director of Chemistry</t>
  </si>
  <si>
    <t>Merck &amp; Co, Inc.</t>
  </si>
  <si>
    <t>737 Oak Ave</t>
  </si>
  <si>
    <t>Westfield</t>
  </si>
  <si>
    <t>christopher_plummer@merck.com</t>
  </si>
  <si>
    <t>Chuanhao</t>
  </si>
  <si>
    <t>Peng</t>
  </si>
  <si>
    <t>11135-83 Avenue</t>
  </si>
  <si>
    <t>Windsor Park Plaza &amp; Lofts</t>
  </si>
  <si>
    <t>T6G 2C6</t>
  </si>
  <si>
    <t>chuanha1@ualberta.ca</t>
  </si>
  <si>
    <t>Chunying</t>
  </si>
  <si>
    <t>Hd Biosciences</t>
  </si>
  <si>
    <t>6122 Nancy Ridge Drive</t>
  </si>
  <si>
    <t>chunyingsong@hdbiosciences.com</t>
  </si>
  <si>
    <t>Ciaran</t>
  </si>
  <si>
    <t>McGrory</t>
  </si>
  <si>
    <t>University of Galway</t>
  </si>
  <si>
    <t>16 Tor Bui</t>
  </si>
  <si>
    <t>Cappagh Rd</t>
  </si>
  <si>
    <t>Galway</t>
  </si>
  <si>
    <t>H91 NDC3</t>
  </si>
  <si>
    <t>Ireland</t>
  </si>
  <si>
    <t>c.mcgrory5@universityofgalway.ie</t>
  </si>
  <si>
    <t>Claiborne</t>
  </si>
  <si>
    <t>Tydings</t>
  </si>
  <si>
    <t>Vanderbilt University</t>
  </si>
  <si>
    <t>1606 18th Ave S</t>
  </si>
  <si>
    <t>Apt. 34</t>
  </si>
  <si>
    <t>Nashville</t>
  </si>
  <si>
    <t>TN</t>
  </si>
  <si>
    <t>claiborne.w.tydings@vanderbilt.edu</t>
  </si>
  <si>
    <t>Colin</t>
  </si>
  <si>
    <t>Simpson</t>
  </si>
  <si>
    <t>CEM Corporation</t>
  </si>
  <si>
    <t>3100 Smith Farm Road</t>
  </si>
  <si>
    <t>Matthews</t>
  </si>
  <si>
    <t>colin.simpson@cem.com</t>
  </si>
  <si>
    <t>704-821-7015</t>
  </si>
  <si>
    <t>connor</t>
  </si>
  <si>
    <t>triplett</t>
  </si>
  <si>
    <t>Territory Account Manager</t>
  </si>
  <si>
    <t>AnaSpec Inc.</t>
  </si>
  <si>
    <t>9296 trenholm dr</t>
  </si>
  <si>
    <t>elk grove</t>
  </si>
  <si>
    <t>c.triplett@anaspec.com</t>
  </si>
  <si>
    <t>507-301-8086</t>
  </si>
  <si>
    <t>Danial</t>
  </si>
  <si>
    <t>Yazdan</t>
  </si>
  <si>
    <t>Grad Student</t>
  </si>
  <si>
    <t>11335 Saskatchewan Dr NW</t>
  </si>
  <si>
    <t>T6G 2M9</t>
  </si>
  <si>
    <t>dyazdan@ualberta.ca</t>
  </si>
  <si>
    <t>Danielle</t>
  </si>
  <si>
    <t>Guarracino</t>
  </si>
  <si>
    <t>The College of New Jersey</t>
  </si>
  <si>
    <t>2000 Pennington Rd</t>
  </si>
  <si>
    <t>Ewing</t>
  </si>
  <si>
    <t>guarracd@tcnj.edu</t>
  </si>
  <si>
    <t>609-771-2416</t>
  </si>
  <si>
    <t>Morgan</t>
  </si>
  <si>
    <t>Princeton University</t>
  </si>
  <si>
    <t>6118 Windridge Court</t>
  </si>
  <si>
    <t>Princeton</t>
  </si>
  <si>
    <t>dm0770@princeton.edu</t>
  </si>
  <si>
    <t>Danny</t>
  </si>
  <si>
    <t>Chou</t>
  </si>
  <si>
    <t>Stanford University</t>
  </si>
  <si>
    <t>1701 Page Mill Rd Rm 253</t>
  </si>
  <si>
    <t>Palo Alto</t>
  </si>
  <si>
    <t>dannychou@stanford.edu</t>
  </si>
  <si>
    <t>857-928-7946</t>
  </si>
  <si>
    <t>David</t>
  </si>
  <si>
    <t>VP for Business Development</t>
  </si>
  <si>
    <t>Acrotein ChemBio Inc.</t>
  </si>
  <si>
    <t>2194 Parkway Lake Drive Suite K</t>
  </si>
  <si>
    <t>HOOVER</t>
  </si>
  <si>
    <t>AL</t>
  </si>
  <si>
    <t>sales@acrotein.com</t>
  </si>
  <si>
    <t>1-205-730-9388</t>
  </si>
  <si>
    <t>Craik</t>
  </si>
  <si>
    <t>The University of Queensland</t>
  </si>
  <si>
    <t>Institute for Molecular Bioscience</t>
  </si>
  <si>
    <t>Brisbane</t>
  </si>
  <si>
    <t>QLD</t>
  </si>
  <si>
    <t>d.craik@imb.uq.edu.au</t>
  </si>
  <si>
    <t>Lawrence</t>
  </si>
  <si>
    <t>University of North Carolina</t>
  </si>
  <si>
    <t>Chapel Hill</t>
  </si>
  <si>
    <t>lawrencd@email.unc.edu</t>
  </si>
  <si>
    <t>919-667-7896</t>
  </si>
  <si>
    <t>Dek</t>
  </si>
  <si>
    <t>Woolfson</t>
  </si>
  <si>
    <t>University of Bristol</t>
  </si>
  <si>
    <t>Cantock's Close</t>
  </si>
  <si>
    <t>Bristol</t>
  </si>
  <si>
    <t>BS8 1TS</t>
  </si>
  <si>
    <t>D.N.WOOLFSON@BRISTOL.AC.UK</t>
  </si>
  <si>
    <t>+44 77 90 90 58 71</t>
  </si>
  <si>
    <t>Dennis</t>
  </si>
  <si>
    <t>Bong</t>
  </si>
  <si>
    <t>The Ohio State University</t>
  </si>
  <si>
    <t>100 W. 18th Ave</t>
  </si>
  <si>
    <t>Columbus</t>
  </si>
  <si>
    <t>OH</t>
  </si>
  <si>
    <t>43210-1106</t>
  </si>
  <si>
    <t>bong.6@osu.edu</t>
  </si>
  <si>
    <t>Derek</t>
  </si>
  <si>
    <t>Gonzales</t>
  </si>
  <si>
    <t>Regional Sales Manager</t>
  </si>
  <si>
    <t>derek.gonzales@gyrosproteintech.com</t>
  </si>
  <si>
    <t>(520) 534 1255</t>
  </si>
  <si>
    <t>Dhanya</t>
  </si>
  <si>
    <t>Karipal Padinjare Veedu</t>
  </si>
  <si>
    <t>The Australian National University</t>
  </si>
  <si>
    <t>15 Wade Street</t>
  </si>
  <si>
    <t>Watson</t>
  </si>
  <si>
    <t>ACT</t>
  </si>
  <si>
    <t>u6909384@anu.edu.au</t>
  </si>
  <si>
    <t>Dhriti Santosh</t>
  </si>
  <si>
    <t>Shenoy</t>
  </si>
  <si>
    <t>MSCA Doctoral Candidate</t>
  </si>
  <si>
    <t>University of Milan and University of Montpellier</t>
  </si>
  <si>
    <t>Via ettore ponti, 38</t>
  </si>
  <si>
    <t>Milano</t>
  </si>
  <si>
    <t>dhriti.shenoy@unimi.it</t>
  </si>
  <si>
    <t>Diana A</t>
  </si>
  <si>
    <t>Martinez Baquero</t>
  </si>
  <si>
    <t>Postdoctoral Associate</t>
  </si>
  <si>
    <t>Hunter College</t>
  </si>
  <si>
    <t>651E 21st ST</t>
  </si>
  <si>
    <t>Brooklyn</t>
  </si>
  <si>
    <t>diana.martinezbaquero@hunter.cuny.edu</t>
  </si>
  <si>
    <t>Diedra</t>
  </si>
  <si>
    <t>Shorty-Duffie</t>
  </si>
  <si>
    <t>Postdoctoral Scientist</t>
  </si>
  <si>
    <t>2685 GREAT SMOKY ROAD</t>
  </si>
  <si>
    <t>09-206</t>
  </si>
  <si>
    <t>PLAINFIELD</t>
  </si>
  <si>
    <t>diedra.shortyduffie@lilly.com</t>
  </si>
  <si>
    <t>Diptomit</t>
  </si>
  <si>
    <t>Biswas</t>
  </si>
  <si>
    <t>The Pennsylvania State University (University Park)</t>
  </si>
  <si>
    <t>10 Vairo Boulevard</t>
  </si>
  <si>
    <t>Apt 202C</t>
  </si>
  <si>
    <t>State College</t>
  </si>
  <si>
    <t>dzb5866@psu.edu</t>
  </si>
  <si>
    <t>Dominik</t>
  </si>
  <si>
    <t>Sarma</t>
  </si>
  <si>
    <t>Sr Market Manager</t>
  </si>
  <si>
    <t>dominik.sarma@gyrosproteintechnologies.com</t>
  </si>
  <si>
    <t>Donya</t>
  </si>
  <si>
    <t>Ohadi</t>
  </si>
  <si>
    <t>Johnson &amp; Johnson</t>
  </si>
  <si>
    <t>151 Stine Dr</t>
  </si>
  <si>
    <t>Collegeville</t>
  </si>
  <si>
    <t>dohadika@its.jnj.com</t>
  </si>
  <si>
    <t>Dorothy Che Ching</t>
  </si>
  <si>
    <t>Wai</t>
  </si>
  <si>
    <t>Monash University</t>
  </si>
  <si>
    <t>381 Royal Parade</t>
  </si>
  <si>
    <t>Parkville</t>
  </si>
  <si>
    <t>VIC</t>
  </si>
  <si>
    <t>dorothy.wai@monash.edu</t>
  </si>
  <si>
    <t>Dror</t>
  </si>
  <si>
    <t>Ben Abba Amiel</t>
  </si>
  <si>
    <t>Hebrew University of Jerusalem, Israel</t>
  </si>
  <si>
    <t>Givat Ram</t>
  </si>
  <si>
    <t>Jerusalem</t>
  </si>
  <si>
    <t>Israel</t>
  </si>
  <si>
    <t>dror.benabba@mail.huji.ac.il</t>
  </si>
  <si>
    <t>Edward "Daniel"</t>
  </si>
  <si>
    <t>Taggart</t>
  </si>
  <si>
    <t>Associate Scientist</t>
  </si>
  <si>
    <t>Quotient Sciences</t>
  </si>
  <si>
    <t>1726 N Tuckahoe Rd</t>
  </si>
  <si>
    <t>Williamstown</t>
  </si>
  <si>
    <t>edward.taggart@quotientsciences.com</t>
  </si>
  <si>
    <t>Eileen</t>
  </si>
  <si>
    <t>Kennedy</t>
  </si>
  <si>
    <t>Georgia Athletic Association Professor</t>
  </si>
  <si>
    <t>University of Georgia, College of Pharmacy</t>
  </si>
  <si>
    <t>240 W. Green St</t>
  </si>
  <si>
    <t>344 Pharmacy South</t>
  </si>
  <si>
    <t>Athens</t>
  </si>
  <si>
    <t>GA</t>
  </si>
  <si>
    <t>ekennedy@uga.edu</t>
  </si>
  <si>
    <t>706-542-6497</t>
  </si>
  <si>
    <t>Eleni</t>
  </si>
  <si>
    <t>Chatzilakou</t>
  </si>
  <si>
    <t>PhD Researcher</t>
  </si>
  <si>
    <t>Imperial College London</t>
  </si>
  <si>
    <t>16 Northdown Street</t>
  </si>
  <si>
    <t>Apartment 6</t>
  </si>
  <si>
    <t>London</t>
  </si>
  <si>
    <t>N1 9BG</t>
  </si>
  <si>
    <t>e.chatzilakou22@imperial.ac.uk</t>
  </si>
  <si>
    <t>Elisabetta</t>
  </si>
  <si>
    <t>Bianchi</t>
  </si>
  <si>
    <t>Director Discovery Chemistry</t>
  </si>
  <si>
    <t>Curium Pharma</t>
  </si>
  <si>
    <t>Via Enrico Tazzoli, 6</t>
  </si>
  <si>
    <t>I-20154 Italy</t>
  </si>
  <si>
    <t>elisabetta.bianchi7@gmail.com</t>
  </si>
  <si>
    <t>Elizabeth</t>
  </si>
  <si>
    <t>Bredice</t>
  </si>
  <si>
    <t>UNC Wilmington</t>
  </si>
  <si>
    <t>711 Hedrick Blvd</t>
  </si>
  <si>
    <t>Morehead City</t>
  </si>
  <si>
    <t>eab7772@uncw.edu</t>
  </si>
  <si>
    <t>Denton</t>
  </si>
  <si>
    <t>Market Segment Manager</t>
  </si>
  <si>
    <t>10430 Harris Oaks Blvd., C</t>
  </si>
  <si>
    <t>elizabeth.denton@biotage.com</t>
  </si>
  <si>
    <t>704-264-7035</t>
  </si>
  <si>
    <t>Parkinson</t>
  </si>
  <si>
    <t>Assistant Professor of Chemistry</t>
  </si>
  <si>
    <t>560 Oval Drive</t>
  </si>
  <si>
    <t>eparkins@purdue.edu</t>
  </si>
  <si>
    <t>Stone</t>
  </si>
  <si>
    <t>Fairfield University</t>
  </si>
  <si>
    <t>215 Alfred St</t>
  </si>
  <si>
    <t>Apt 311</t>
  </si>
  <si>
    <t>Bridgeport</t>
  </si>
  <si>
    <t>CT</t>
  </si>
  <si>
    <t>Estone@fairfield.edu</t>
  </si>
  <si>
    <t>Ellie</t>
  </si>
  <si>
    <t>Hyde</t>
  </si>
  <si>
    <t>University of East Anglia</t>
  </si>
  <si>
    <t>21 Roe Drive</t>
  </si>
  <si>
    <t>Norwich</t>
  </si>
  <si>
    <t>NR5 8BT</t>
  </si>
  <si>
    <t>ellie.hyde@uea.ac.uk</t>
  </si>
  <si>
    <t>+44 7397825553</t>
  </si>
  <si>
    <t>Elliott</t>
  </si>
  <si>
    <t>Brecht</t>
  </si>
  <si>
    <t>Sai Life Sciences</t>
  </si>
  <si>
    <t>1120 Campbell St</t>
  </si>
  <si>
    <t>Oakland</t>
  </si>
  <si>
    <t>elliott.b@sailife.com</t>
  </si>
  <si>
    <t>(510)815-2851</t>
  </si>
  <si>
    <t>Emel</t>
  </si>
  <si>
    <t>adaligil</t>
  </si>
  <si>
    <t>emeladaligil@gmail.com</t>
  </si>
  <si>
    <t>617-835-2722</t>
  </si>
  <si>
    <t>Emilia</t>
  </si>
  <si>
    <t>Oueis</t>
  </si>
  <si>
    <t>Khalifa University</t>
  </si>
  <si>
    <t>SAN Campus</t>
  </si>
  <si>
    <t>Building 2, Office 2010</t>
  </si>
  <si>
    <t>Abu Dhabi</t>
  </si>
  <si>
    <t>N/A</t>
  </si>
  <si>
    <t>United Arab Emirates</t>
  </si>
  <si>
    <t>emilia.oueis@ku.ac.ae</t>
  </si>
  <si>
    <t>France</t>
  </si>
  <si>
    <t>Emma</t>
  </si>
  <si>
    <t>Elsdon</t>
  </si>
  <si>
    <t>656 E 189th St</t>
  </si>
  <si>
    <t>Bronx</t>
  </si>
  <si>
    <t>eelsdon@fordham.edu</t>
  </si>
  <si>
    <t>Eric</t>
  </si>
  <si>
    <t>Feyfant</t>
  </si>
  <si>
    <t>Research Leader</t>
  </si>
  <si>
    <t>Schrodinger Inc.</t>
  </si>
  <si>
    <t>One Main st</t>
  </si>
  <si>
    <t>11 floor</t>
  </si>
  <si>
    <t>eric.feyfant@schrodinger.com</t>
  </si>
  <si>
    <t>Sales Director</t>
  </si>
  <si>
    <t>Tianjin Nankai Hecheng Science &amp; Technology Co., Ltd.</t>
  </si>
  <si>
    <t>969-6 Kaixuan Street</t>
  </si>
  <si>
    <t>Dagang Petrochemical Park,</t>
  </si>
  <si>
    <t>Tianjin</t>
  </si>
  <si>
    <t>ericyang@tjhecheng.com</t>
  </si>
  <si>
    <t>Erlu</t>
  </si>
  <si>
    <t>Feng</t>
  </si>
  <si>
    <t>Process Development Senior Scientist</t>
  </si>
  <si>
    <t>Amgen Inc.</t>
  </si>
  <si>
    <t>1927 Ridgegate Lane</t>
  </si>
  <si>
    <t>Unit M</t>
  </si>
  <si>
    <t>Simi Valley</t>
  </si>
  <si>
    <t>efeng01@amgen.com</t>
  </si>
  <si>
    <t>Esther</t>
  </si>
  <si>
    <t>Meron</t>
  </si>
  <si>
    <t>PhD Student</t>
  </si>
  <si>
    <t>Gubra</t>
  </si>
  <si>
    <t>Hørsholm Kongevej 11, B</t>
  </si>
  <si>
    <t>Hørsholm</t>
  </si>
  <si>
    <t>eme@gubra.dk</t>
  </si>
  <si>
    <t>Ewa</t>
  </si>
  <si>
    <t>Lis</t>
  </si>
  <si>
    <t>Founder and CEO</t>
  </si>
  <si>
    <t>Koliber Biosciences</t>
  </si>
  <si>
    <t>12265 World Trade Drive, Ste G</t>
  </si>
  <si>
    <t>SAN DIEGO</t>
  </si>
  <si>
    <t>elis@koliberbio.com</t>
  </si>
  <si>
    <t>F. Akif</t>
  </si>
  <si>
    <t>Tezcan</t>
  </si>
  <si>
    <t>UCSD</t>
  </si>
  <si>
    <t>Department of Chemistry and Biochemistry, 9500 Gilman Drive</t>
  </si>
  <si>
    <t>tezcan@ucsd.edu</t>
  </si>
  <si>
    <t>858-534-4862</t>
  </si>
  <si>
    <t>Federica</t>
  </si>
  <si>
    <t>Decò</t>
  </si>
  <si>
    <t>Global Business Development Americas</t>
  </si>
  <si>
    <t>3132 Kashiwa St</t>
  </si>
  <si>
    <t>T</t>
  </si>
  <si>
    <t>federica.deco@bachem.com</t>
  </si>
  <si>
    <t>+1 310 784 7335</t>
  </si>
  <si>
    <t>Orvieto</t>
  </si>
  <si>
    <t>Principal Research Investigator</t>
  </si>
  <si>
    <t>IRBM S.p.a</t>
  </si>
  <si>
    <t>Via Pontina Km 30,600</t>
  </si>
  <si>
    <t>Pomezia</t>
  </si>
  <si>
    <t>f.orvieto@irbm.com</t>
  </si>
  <si>
    <t>Tucci</t>
  </si>
  <si>
    <t>Principal Research Scientist</t>
  </si>
  <si>
    <t>IRBM SPA</t>
  </si>
  <si>
    <t>via Pontina Km 30,6</t>
  </si>
  <si>
    <t>f.tucci@irbm.com</t>
  </si>
  <si>
    <t>Yin</t>
  </si>
  <si>
    <t>Shenzhen Bay Laboratory</t>
  </si>
  <si>
    <t>Gaoke Innovation Center, Guangqiao Road, Guangming District</t>
  </si>
  <si>
    <t>Shenzhen</t>
  </si>
  <si>
    <t>yinfeng@pkusz.edu.cn</t>
  </si>
  <si>
    <t>Ferdinand</t>
  </si>
  <si>
    <t>Braun</t>
  </si>
  <si>
    <t>Friedrich-Alexander-University Erlangen</t>
  </si>
  <si>
    <t>Nikolaus-Fiebiger-Str. 10</t>
  </si>
  <si>
    <t>Erlangen</t>
  </si>
  <si>
    <t>ferdinand.braun@fau.de</t>
  </si>
  <si>
    <t>Fernando</t>
  </si>
  <si>
    <t>Albericio</t>
  </si>
  <si>
    <t>albericio@ukzn.ac.za</t>
  </si>
  <si>
    <t>Florence</t>
  </si>
  <si>
    <t>Brunel</t>
  </si>
  <si>
    <t>Scientific Director</t>
  </si>
  <si>
    <t>33 Hayden Avenue</t>
  </si>
  <si>
    <t>Lexington</t>
  </si>
  <si>
    <t>florencebrunel@gmail.com</t>
  </si>
  <si>
    <t>Francesco</t>
  </si>
  <si>
    <t>Merlino</t>
  </si>
  <si>
    <t>University of Naples Federico II</t>
  </si>
  <si>
    <t>via D. Montesano 49</t>
  </si>
  <si>
    <t>Naples</t>
  </si>
  <si>
    <t>francesco.merlino@unina.it</t>
  </si>
  <si>
    <t>Gabriela</t>
  </si>
  <si>
    <t>Coy</t>
  </si>
  <si>
    <t>Graduate student</t>
  </si>
  <si>
    <t>1920 Northwestern Ave</t>
  </si>
  <si>
    <t>WEST LAFAYETTE</t>
  </si>
  <si>
    <t>lcoyrodr@purdue.edu</t>
  </si>
  <si>
    <t>Garrett</t>
  </si>
  <si>
    <t>Burgess</t>
  </si>
  <si>
    <t>garrett.burgess@biotage.com</t>
  </si>
  <si>
    <t>Gaurav</t>
  </si>
  <si>
    <t>Bhardwaj</t>
  </si>
  <si>
    <t>University of Washington, Seattle</t>
  </si>
  <si>
    <t>1959 NE Pacific Street</t>
  </si>
  <si>
    <t>Health Sciences Bldg., H-172</t>
  </si>
  <si>
    <t>gauravb@uw.edu</t>
  </si>
  <si>
    <t>Geoffrey</t>
  </si>
  <si>
    <t>Eddinger</t>
  </si>
  <si>
    <t>Nimble Therapeutics</t>
  </si>
  <si>
    <t>603 Science Drive</t>
  </si>
  <si>
    <t>geoff.eddinger@nimbletherapeutics.com</t>
  </si>
  <si>
    <t>Glen</t>
  </si>
  <si>
    <t>Mcintyre</t>
  </si>
  <si>
    <t>COO</t>
  </si>
  <si>
    <t>insamo south</t>
  </si>
  <si>
    <t>12-16 Chippen St</t>
  </si>
  <si>
    <t>Suite 2, Level 1</t>
  </si>
  <si>
    <t>Chippendale</t>
  </si>
  <si>
    <t>admin@insamo.com</t>
  </si>
  <si>
    <t>+61 0422331391</t>
  </si>
  <si>
    <t>Gopal</t>
  </si>
  <si>
    <t>Dubey</t>
  </si>
  <si>
    <t>Texas A&amp;M University</t>
  </si>
  <si>
    <t>3645Wellborn Rd</t>
  </si>
  <si>
    <t>914B</t>
  </si>
  <si>
    <t>gopal21@tamu.edu</t>
  </si>
  <si>
    <t>Goran</t>
  </si>
  <si>
    <t>Krilov</t>
  </si>
  <si>
    <t>Schrodinger</t>
  </si>
  <si>
    <t>1540 Broadway</t>
  </si>
  <si>
    <t>24th Floor</t>
  </si>
  <si>
    <t>New York</t>
  </si>
  <si>
    <t>goran.krilov@schrodinger.com</t>
  </si>
  <si>
    <t>Gordon</t>
  </si>
  <si>
    <t>Carlson</t>
  </si>
  <si>
    <t>NanoMicro Technologies</t>
  </si>
  <si>
    <t>400 W Cummings Park</t>
  </si>
  <si>
    <t>Suite 5000</t>
  </si>
  <si>
    <t>Woburn</t>
  </si>
  <si>
    <t>gordon.carlson@nanomicrotech.com</t>
  </si>
  <si>
    <t>Goshi</t>
  </si>
  <si>
    <t>Sugano</t>
  </si>
  <si>
    <t>Ph. D.</t>
  </si>
  <si>
    <t>SynCrest Inc.</t>
  </si>
  <si>
    <t>Shonan iPark, 2-26-1</t>
  </si>
  <si>
    <t>Muraoka-Higashi</t>
  </si>
  <si>
    <t>Fujisawa, Kanagawa</t>
  </si>
  <si>
    <t>251-8555</t>
  </si>
  <si>
    <t>Sugano.Goshi.a@syncrest.co.jp</t>
  </si>
  <si>
    <t>Gosuke</t>
  </si>
  <si>
    <t>Hayashi</t>
  </si>
  <si>
    <t>Nagoya University</t>
  </si>
  <si>
    <t>Furo-cho, Chikusa-ku</t>
  </si>
  <si>
    <t>Nagoya</t>
  </si>
  <si>
    <t>464-8603</t>
  </si>
  <si>
    <t>hayashi@chembio.nagoya-u.ac.jp</t>
  </si>
  <si>
    <t>Gregory</t>
  </si>
  <si>
    <t>Roller</t>
  </si>
  <si>
    <t>Associate Director, Account Management</t>
  </si>
  <si>
    <t>Asymchem</t>
  </si>
  <si>
    <t>600 Airport Blvd, Suite 1000</t>
  </si>
  <si>
    <t>gregoryroller@asymchem.com</t>
  </si>
  <si>
    <t>(919) 457-7578</t>
  </si>
  <si>
    <t>Guy</t>
  </si>
  <si>
    <t>Kamnesky</t>
  </si>
  <si>
    <t>Technion</t>
  </si>
  <si>
    <t>Shulich Faculty of Chemistry</t>
  </si>
  <si>
    <t>Haifa</t>
  </si>
  <si>
    <t>guykam@technion.ac.il</t>
  </si>
  <si>
    <t>952-77-8871532</t>
  </si>
  <si>
    <t>Haley</t>
  </si>
  <si>
    <t>Anchukaitis</t>
  </si>
  <si>
    <t>PhD Candidate</t>
  </si>
  <si>
    <t>108 Broadway</t>
  </si>
  <si>
    <t>Apt 5</t>
  </si>
  <si>
    <t>haley.anchukaitis@tufts.edu</t>
  </si>
  <si>
    <t>Hassan</t>
  </si>
  <si>
    <t>Seyrani</t>
  </si>
  <si>
    <t>University of Missouri</t>
  </si>
  <si>
    <t>510 High St,</t>
  </si>
  <si>
    <t>Apt322</t>
  </si>
  <si>
    <t>Columbia</t>
  </si>
  <si>
    <t>MO</t>
  </si>
  <si>
    <t>Hassan.seyrani@mail.missouri.edu</t>
  </si>
  <si>
    <t>Heba</t>
  </si>
  <si>
    <t>A Salim</t>
  </si>
  <si>
    <t>718 E Georgia St.</t>
  </si>
  <si>
    <t>apartment 420</t>
  </si>
  <si>
    <t>salim_heba@lilly.com</t>
  </si>
  <si>
    <t>Helen</t>
  </si>
  <si>
    <t>Horsley</t>
  </si>
  <si>
    <t>UCB</t>
  </si>
  <si>
    <t>216 Bath Road</t>
  </si>
  <si>
    <t>Slough</t>
  </si>
  <si>
    <t>SL1 3WE</t>
  </si>
  <si>
    <t>Helen.Horsley@ucb.com</t>
  </si>
  <si>
    <t>Heng</t>
  </si>
  <si>
    <t>Post doctoral</t>
  </si>
  <si>
    <t>University of South Florida</t>
  </si>
  <si>
    <t>4202 E Fowler Ave</t>
  </si>
  <si>
    <t>Tampa</t>
  </si>
  <si>
    <t>hengliu1@usf.edu</t>
  </si>
  <si>
    <t>Henry</t>
  </si>
  <si>
    <t>Cryst</t>
  </si>
  <si>
    <t>Specialist, Business Development</t>
  </si>
  <si>
    <t>henry.cryst@jpt.com</t>
  </si>
  <si>
    <t>Pan</t>
  </si>
  <si>
    <t>Postdoctoral Research Fellow</t>
  </si>
  <si>
    <t>The University of California, San Francisco</t>
  </si>
  <si>
    <t>600 Minnesota Street</t>
  </si>
  <si>
    <t>Apt 613</t>
  </si>
  <si>
    <t>henry.pan@ucsf.edu</t>
  </si>
  <si>
    <t>248-219-0302</t>
  </si>
  <si>
    <t>Hidekazu</t>
  </si>
  <si>
    <t>Hochido</t>
  </si>
  <si>
    <t>Chugai Pharmaceutical Co., Ltd.</t>
  </si>
  <si>
    <t>216, Totsuka-cho, Totsuka-ku, Yokohama</t>
  </si>
  <si>
    <t>Kanagawa</t>
  </si>
  <si>
    <t>244-8567</t>
  </si>
  <si>
    <t>hochido.hidekazu24@chugai-pharm.co.jp</t>
  </si>
  <si>
    <t>+81 80 80001951</t>
  </si>
  <si>
    <t>Hiroaki</t>
  </si>
  <si>
    <t>Suga</t>
  </si>
  <si>
    <t>The University of Tokyo</t>
  </si>
  <si>
    <t>7-3-1 Hongo, Bunkyo-ku</t>
  </si>
  <si>
    <t>Tokyo</t>
  </si>
  <si>
    <t>hsuga@chem.s.u-tokyo.ac.jp</t>
  </si>
  <si>
    <t>Hirohito</t>
  </si>
  <si>
    <t>Senior Scientist I</t>
  </si>
  <si>
    <t>Chugai Pharamabody Research</t>
  </si>
  <si>
    <t>3 Biopolis Drive #07-11 to 16 Synapse</t>
  </si>
  <si>
    <t>Singapore</t>
  </si>
  <si>
    <t>hayashi-h@chugai-pharmabody.com</t>
  </si>
  <si>
    <t>Hongkang</t>
  </si>
  <si>
    <t>Wu</t>
  </si>
  <si>
    <t>The Florey Institute, The University of Melbourne</t>
  </si>
  <si>
    <t>30 Royal Parade</t>
  </si>
  <si>
    <t>Melbourne</t>
  </si>
  <si>
    <t>hk562466384@gmail.com</t>
  </si>
  <si>
    <t>Hossain</t>
  </si>
  <si>
    <t>Saneii</t>
  </si>
  <si>
    <t>Business Development and Technical Support</t>
  </si>
  <si>
    <t>AAPPTec, LLC</t>
  </si>
  <si>
    <t>6309 Shepherdsville Road</t>
  </si>
  <si>
    <t>hsaneii@aapptec.com</t>
  </si>
  <si>
    <t>Huong</t>
  </si>
  <si>
    <t>Kratochvil</t>
  </si>
  <si>
    <t>University of North Carolina at Chapel Hill</t>
  </si>
  <si>
    <t>250 Bell Tower Dr. Rm 4358</t>
  </si>
  <si>
    <t>huong.kratochvil@unc.edu</t>
  </si>
  <si>
    <t>Hyunjun</t>
  </si>
  <si>
    <t>postdoctoral fellow</t>
  </si>
  <si>
    <t>University of California San Francisco</t>
  </si>
  <si>
    <t>12239 main campus drive</t>
  </si>
  <si>
    <t>peptidelinks@gmail.com</t>
  </si>
  <si>
    <t>Ian</t>
  </si>
  <si>
    <t>Lichodziejewski</t>
  </si>
  <si>
    <t>Ian.Lichodziejewski@polypeptide.com</t>
  </si>
  <si>
    <t>Ida</t>
  </si>
  <si>
    <t>Boccino</t>
  </si>
  <si>
    <t>University of Naples</t>
  </si>
  <si>
    <t>Via Domenico Montesano, 49</t>
  </si>
  <si>
    <t>ida.boccino@unina.it</t>
  </si>
  <si>
    <t>Idil</t>
  </si>
  <si>
    <t>Demiralp</t>
  </si>
  <si>
    <t>idemiralp@scripps.edu</t>
  </si>
  <si>
    <t>Ikuhiko</t>
  </si>
  <si>
    <t>Nakase</t>
  </si>
  <si>
    <t>Graduate School of Science, Osaka Metropolitan University</t>
  </si>
  <si>
    <t>1-1 Gakuen-cho, Naka-ku</t>
  </si>
  <si>
    <t>Sakai-shi</t>
  </si>
  <si>
    <t>599-8531</t>
  </si>
  <si>
    <t>i-nakase@omu.ac.jp</t>
  </si>
  <si>
    <t>Imani</t>
  </si>
  <si>
    <t>McDonald</t>
  </si>
  <si>
    <t>235 Main st</t>
  </si>
  <si>
    <t>Unit 3</t>
  </si>
  <si>
    <t>Medford</t>
  </si>
  <si>
    <t>imani.mcdonald@tufts.edu</t>
  </si>
  <si>
    <t>Ingrid</t>
  </si>
  <si>
    <t>Dijkgraaf</t>
  </si>
  <si>
    <t>Mrs.</t>
  </si>
  <si>
    <t>Maastricht University</t>
  </si>
  <si>
    <t>Universiteitssingel 50</t>
  </si>
  <si>
    <t>Maastricht</t>
  </si>
  <si>
    <t>6229 ER</t>
  </si>
  <si>
    <t>Netherlands</t>
  </si>
  <si>
    <t>I.Dijkgraaf@maastrichtuniversity.nl</t>
  </si>
  <si>
    <t>Ingyu</t>
  </si>
  <si>
    <t>Han</t>
  </si>
  <si>
    <t>Yonsei University</t>
  </si>
  <si>
    <t>50, Yonsei-ro, Seodaemun-gu</t>
  </si>
  <si>
    <t>515, Science Hall</t>
  </si>
  <si>
    <t>Seoul</t>
  </si>
  <si>
    <t>Korea, Republic of</t>
  </si>
  <si>
    <t>chem_han@yonsei.ac.kr</t>
  </si>
  <si>
    <t>Isaac</t>
  </si>
  <si>
    <t>Angera</t>
  </si>
  <si>
    <t>Notre Dame</t>
  </si>
  <si>
    <t>2622 Clydesdale Dr. Apt 3A</t>
  </si>
  <si>
    <t>iangera2@nd.edu</t>
  </si>
  <si>
    <t>Isabel</t>
  </si>
  <si>
    <t>Mathiesen</t>
  </si>
  <si>
    <t>Francis Crick Institute</t>
  </si>
  <si>
    <t>1 Midland Road</t>
  </si>
  <si>
    <t>NW1 1AT</t>
  </si>
  <si>
    <t>isabel.mathiesen@crick.ac.uk</t>
  </si>
  <si>
    <t>Ismail</t>
  </si>
  <si>
    <t>Ahmed</t>
  </si>
  <si>
    <t>University of Utah Department of Neurobiology 20 South 2030 East, BPRB 408D</t>
  </si>
  <si>
    <t>ismail.ahmed@neuro.utah.edu</t>
  </si>
  <si>
    <t>Izabela</t>
  </si>
  <si>
    <t>Siekierska</t>
  </si>
  <si>
    <t>University of Warsaw, Centre of New Technologies</t>
  </si>
  <si>
    <t>University of Warsaw</t>
  </si>
  <si>
    <t>Address: Krakowskie Przedmiescie 26/28</t>
  </si>
  <si>
    <t>Warsaw</t>
  </si>
  <si>
    <t>00-927</t>
  </si>
  <si>
    <t>Poland</t>
  </si>
  <si>
    <t>i.siekierska@cent.uw.edu.pl</t>
  </si>
  <si>
    <t>+48 22 55 43631</t>
  </si>
  <si>
    <t>Jacek</t>
  </si>
  <si>
    <t>Stalewski</t>
  </si>
  <si>
    <t>Scientific Director, Chemistry</t>
  </si>
  <si>
    <t>Ferring Ventures Inc.</t>
  </si>
  <si>
    <t>4245 Sorrento Valley Blvd.</t>
  </si>
  <si>
    <t>jacek.stalewski@ferring.com</t>
  </si>
  <si>
    <t>858-657-1557</t>
  </si>
  <si>
    <t>Jack</t>
  </si>
  <si>
    <t>Xu</t>
  </si>
  <si>
    <t>Principal CMC Consultant</t>
  </si>
  <si>
    <t>Elixtide LLC</t>
  </si>
  <si>
    <t>801 Avenida Codorniz</t>
  </si>
  <si>
    <t>San Marcos</t>
  </si>
  <si>
    <t>jack.xu@elixtide.com</t>
  </si>
  <si>
    <t>Jackson</t>
  </si>
  <si>
    <t>Brunicardi</t>
  </si>
  <si>
    <t>University of California, Irvine</t>
  </si>
  <si>
    <t>3309 Colony Plaza</t>
  </si>
  <si>
    <t>Apt. 4421</t>
  </si>
  <si>
    <t>Newport Beach</t>
  </si>
  <si>
    <t>jbrunica@uci.edu</t>
  </si>
  <si>
    <t>213-519-0345</t>
  </si>
  <si>
    <t>Jacky Chi Ki</t>
  </si>
  <si>
    <t>Ngo</t>
  </si>
  <si>
    <t>The Chinese University of Hong Kong</t>
  </si>
  <si>
    <t>Rm E403, Science Center East, The Chinese University of Hong Kong</t>
  </si>
  <si>
    <t>Shatin</t>
  </si>
  <si>
    <t>Hong Kong</t>
  </si>
  <si>
    <t>jackyngo@cuhk.edu.hk</t>
  </si>
  <si>
    <t>852-51927227</t>
  </si>
  <si>
    <t>Jacob</t>
  </si>
  <si>
    <t>Pedigo</t>
  </si>
  <si>
    <t>2478 E. Elm Ave</t>
  </si>
  <si>
    <t>jake.pedigo@utah.edu</t>
  </si>
  <si>
    <t>(509)-701-8466</t>
  </si>
  <si>
    <t>Wolfe</t>
  </si>
  <si>
    <t>University of Pittsburgh</t>
  </si>
  <si>
    <t>219 Parkman Ave</t>
  </si>
  <si>
    <t>jawolfe97@gmail.com</t>
  </si>
  <si>
    <t>Jae</t>
  </si>
  <si>
    <t>Park</t>
  </si>
  <si>
    <t>Director, Production</t>
  </si>
  <si>
    <t>jae.park@bachem.com</t>
  </si>
  <si>
    <t>+1 310 784 3322</t>
  </si>
  <si>
    <t>Jaewook</t>
  </si>
  <si>
    <t>Shin</t>
  </si>
  <si>
    <t>Head of Process Development Group</t>
  </si>
  <si>
    <t>SK Pharmteco/ Small Molecule, Asia, SK biotek</t>
  </si>
  <si>
    <t>325, Exporo, Yuseong-gu, Daejeon, 34124, Korea</t>
  </si>
  <si>
    <t>Daejeon</t>
  </si>
  <si>
    <t>jaewook.shin@sk.com</t>
  </si>
  <si>
    <t>+82(10) 4919-9733</t>
  </si>
  <si>
    <t>Jake</t>
  </si>
  <si>
    <t>Wilkinson</t>
  </si>
  <si>
    <t>200 BARNES ST</t>
  </si>
  <si>
    <t>APT E13</t>
  </si>
  <si>
    <t>CARRBORO</t>
  </si>
  <si>
    <t>27510-2239</t>
  </si>
  <si>
    <t>jwilkin2@unc.edu</t>
  </si>
  <si>
    <t>James</t>
  </si>
  <si>
    <t>Checco</t>
  </si>
  <si>
    <t>639 N. 12th St</t>
  </si>
  <si>
    <t>checco@unl.edu</t>
  </si>
  <si>
    <t>402-472-2654</t>
  </si>
  <si>
    <t>McAllister</t>
  </si>
  <si>
    <t>james.mcallister@gyrosproteintech.com</t>
  </si>
  <si>
    <t>Nowick</t>
  </si>
  <si>
    <t>DIstinguished Professor</t>
  </si>
  <si>
    <t>92697-2025</t>
  </si>
  <si>
    <t>jsnowick@uci.edu</t>
  </si>
  <si>
    <t>949-824-6091</t>
  </si>
  <si>
    <t>Jamie</t>
  </si>
  <si>
    <t>Shah</t>
  </si>
  <si>
    <t>Chem-Impex</t>
  </si>
  <si>
    <t>935 Dillon Drive</t>
  </si>
  <si>
    <t>Wood Dale</t>
  </si>
  <si>
    <t>jamie@chemimpex.com</t>
  </si>
  <si>
    <t>Jan</t>
  </si>
  <si>
    <t>Pawlas</t>
  </si>
  <si>
    <t>Scientist Global Development</t>
  </si>
  <si>
    <t>PolyPeptide Laboratories Sweden AB</t>
  </si>
  <si>
    <t>Limhamn</t>
  </si>
  <si>
    <t>na</t>
  </si>
  <si>
    <t>Sweden</t>
  </si>
  <si>
    <t>Jan.Pawlas@polypeptide.com</t>
  </si>
  <si>
    <t>Jane</t>
  </si>
  <si>
    <t>Aldrich</t>
  </si>
  <si>
    <t>University of Florida</t>
  </si>
  <si>
    <t>1345 Center Drive</t>
  </si>
  <si>
    <t>PO Box 100485</t>
  </si>
  <si>
    <t>Gainesville</t>
  </si>
  <si>
    <t>JAldrich@cop.ufl.edu</t>
  </si>
  <si>
    <t>352-273-8708</t>
  </si>
  <si>
    <t>CEO</t>
  </si>
  <si>
    <t>BRT Biotechnologies, Inc.</t>
  </si>
  <si>
    <t>645 N COLLEGE AVE</t>
  </si>
  <si>
    <t>Seaver North 15</t>
  </si>
  <si>
    <t>Claremont</t>
  </si>
  <si>
    <t>jane.liu@brtbio.com</t>
  </si>
  <si>
    <t>Jason</t>
  </si>
  <si>
    <t>Hoki</t>
  </si>
  <si>
    <t>182 Warren Street</t>
  </si>
  <si>
    <t>Watertown</t>
  </si>
  <si>
    <t>jhoki@parabilismed.com</t>
  </si>
  <si>
    <t>Zhu</t>
  </si>
  <si>
    <t>Graduate Researcher</t>
  </si>
  <si>
    <t>4302 Natural Sciences 1</t>
  </si>
  <si>
    <t>jasonz13@uci.edu</t>
  </si>
  <si>
    <t>Jay</t>
  </si>
  <si>
    <t>Levy</t>
  </si>
  <si>
    <t>Retired</t>
  </si>
  <si>
    <t>6475 East Cedar Avenue</t>
  </si>
  <si>
    <t>Denver</t>
  </si>
  <si>
    <t>CO</t>
  </si>
  <si>
    <t>jayjlevy29@gmail.com</t>
  </si>
  <si>
    <t>Jayanta</t>
  </si>
  <si>
    <t>Indian Institute of Science</t>
  </si>
  <si>
    <t>Molecular Biophysics Unit</t>
  </si>
  <si>
    <t>CV Raman Road</t>
  </si>
  <si>
    <t>Bangalore</t>
  </si>
  <si>
    <t>jayanta@iisc.ac.in</t>
  </si>
  <si>
    <t>Jean</t>
  </si>
  <si>
    <t>Chmielewski</t>
  </si>
  <si>
    <t>AW Kramer Distinguished Professor</t>
  </si>
  <si>
    <t>Department of Chemistry, Purdue University</t>
  </si>
  <si>
    <t>chml@purdue.edu</t>
  </si>
  <si>
    <t>Jeff</t>
  </si>
  <si>
    <t>Pi</t>
  </si>
  <si>
    <t>Global Commercial Head of Nucleic Acid and Peptide Related Products</t>
  </si>
  <si>
    <t>jeff.pi@wuxiapptec.com</t>
  </si>
  <si>
    <t>Jeffrey</t>
  </si>
  <si>
    <t>Wong</t>
  </si>
  <si>
    <t>6027 Edgewood Bend Ct</t>
  </si>
  <si>
    <t>jewong@neurocrine.com</t>
  </si>
  <si>
    <t>Jeiha</t>
  </si>
  <si>
    <t>Lee</t>
  </si>
  <si>
    <t>Research scientist / Ph.D</t>
  </si>
  <si>
    <t>National Marine Biodiversity Institute of Korea</t>
  </si>
  <si>
    <t>75, Jangsan-ro 101beon-gil, Janghang-eup</t>
  </si>
  <si>
    <t>Seocheon</t>
  </si>
  <si>
    <t>jeiha@mabik.re.kr</t>
  </si>
  <si>
    <t>+82 10-9908-6761</t>
  </si>
  <si>
    <t>Jenna</t>
  </si>
  <si>
    <t>Cain</t>
  </si>
  <si>
    <t>14 Keats Rd</t>
  </si>
  <si>
    <t>Thornwood</t>
  </si>
  <si>
    <t>jcain9@fordham.edu</t>
  </si>
  <si>
    <t>914-343-6900</t>
  </si>
  <si>
    <t>Jennifer</t>
  </si>
  <si>
    <t>Stockdill</t>
  </si>
  <si>
    <t>Director - Chemistry, SMDD</t>
  </si>
  <si>
    <t>3762 Woodruff Pl</t>
  </si>
  <si>
    <t>Bargersville</t>
  </si>
  <si>
    <t>jennstockdill@gmail.com</t>
  </si>
  <si>
    <t>Jenny</t>
  </si>
  <si>
    <t>Marketing Director</t>
  </si>
  <si>
    <t>Unified Separation Technologies</t>
  </si>
  <si>
    <t>560 Peoples Plaza</t>
  </si>
  <si>
    <t>STE 190</t>
  </si>
  <si>
    <t>Newark</t>
  </si>
  <si>
    <t>DE</t>
  </si>
  <si>
    <t>jenny.zhang@unifiedseparation.com</t>
  </si>
  <si>
    <t>Jens</t>
  </si>
  <si>
    <t>Norrild</t>
  </si>
  <si>
    <t>VP, Head of CMC</t>
  </si>
  <si>
    <t>Antag Therapeutics ApS.</t>
  </si>
  <si>
    <t>Ole Maaloes Vej 3</t>
  </si>
  <si>
    <t>Copenhagen</t>
  </si>
  <si>
    <t>DK-2200 N</t>
  </si>
  <si>
    <t>jcn@antagtx.com</t>
  </si>
  <si>
    <t>+45 3045 1063</t>
  </si>
  <si>
    <t>Jerome</t>
  </si>
  <si>
    <t>NRT Medtech</t>
  </si>
  <si>
    <t>9310 Athena Cirle Suite 100</t>
  </si>
  <si>
    <t>jerome.han@nrtmedtech.com</t>
  </si>
  <si>
    <t>Jerry</t>
  </si>
  <si>
    <t>Wang</t>
  </si>
  <si>
    <t>jerry.wang@unifiedseparation.com</t>
  </si>
  <si>
    <t>Jesus</t>
  </si>
  <si>
    <t>Sandres</t>
  </si>
  <si>
    <t>University of Utah Chemistry</t>
  </si>
  <si>
    <t>3878 S 1845 W Apt G308</t>
  </si>
  <si>
    <t>West Valley City</t>
  </si>
  <si>
    <t>u1362288@utah.edu</t>
  </si>
  <si>
    <t>Jia-Cherng</t>
  </si>
  <si>
    <t>Horng</t>
  </si>
  <si>
    <t>National Tsing Hua University</t>
  </si>
  <si>
    <t>Department of Chemistry, 101 Sec. 2 Kuang-Fu Rd.</t>
  </si>
  <si>
    <t>Hsinchu</t>
  </si>
  <si>
    <t>Taiwan</t>
  </si>
  <si>
    <t>jchorng@mx.nthu.edu.tw</t>
  </si>
  <si>
    <t>+88635715131 ext 35635</t>
  </si>
  <si>
    <t>Jian</t>
  </si>
  <si>
    <t>Raines</t>
  </si>
  <si>
    <t>jianlir0512@csu.fullerton.edu</t>
  </si>
  <si>
    <t>Jianfeng</t>
  </si>
  <si>
    <t>Cai</t>
  </si>
  <si>
    <t>4202 E. Fowler Ave, Department of Chemistry</t>
  </si>
  <si>
    <t>jianfengcai@usf.edu</t>
  </si>
  <si>
    <t>Jiani</t>
  </si>
  <si>
    <t>GL BIOCHEM (SHANGHAI ) LTD.</t>
  </si>
  <si>
    <t>chenjiani@glbiochem.com</t>
  </si>
  <si>
    <t>86-13482227299</t>
  </si>
  <si>
    <t>JIE</t>
  </si>
  <si>
    <t>YU</t>
  </si>
  <si>
    <t>Ms.</t>
  </si>
  <si>
    <t>The University of Hong Kong</t>
  </si>
  <si>
    <t>ROOM 308, Chong Yuet Ming Chemistry Building, The University of Hong Kong, Pokfulam, Hong Kong</t>
  </si>
  <si>
    <t>HONG KONG</t>
  </si>
  <si>
    <t>yujie929@connect.hku.hk</t>
  </si>
  <si>
    <t>+852 96792993</t>
  </si>
  <si>
    <t>JIHOON</t>
  </si>
  <si>
    <t>CHEON</t>
  </si>
  <si>
    <t>Senior process chemist</t>
  </si>
  <si>
    <t>SK pharmteco</t>
  </si>
  <si>
    <t>45 307-2206, National Tax Service-ro, Sejong-si</t>
  </si>
  <si>
    <t>Sejong</t>
  </si>
  <si>
    <t>jihoon.cheon@sk.com</t>
  </si>
  <si>
    <t>82-010-6371-7687</t>
  </si>
  <si>
    <t>Jillian</t>
  </si>
  <si>
    <t>Smith-Carpenter</t>
  </si>
  <si>
    <t>1073 North Benson Rd</t>
  </si>
  <si>
    <t>Fairfield</t>
  </si>
  <si>
    <t>jsmith-carpenter@fairfield.edu</t>
  </si>
  <si>
    <t>203-254-4000</t>
  </si>
  <si>
    <t>Jimmy</t>
  </si>
  <si>
    <t>Mann</t>
  </si>
  <si>
    <t>Sales</t>
  </si>
  <si>
    <t>Aralez Bio</t>
  </si>
  <si>
    <t>2929 Seventh Street</t>
  </si>
  <si>
    <t>Suite 130</t>
  </si>
  <si>
    <t>jmann@aralezbio.com</t>
  </si>
  <si>
    <t>Jingwen</t>
  </si>
  <si>
    <t>Zeng</t>
  </si>
  <si>
    <t>B-1604, Jockey Club Student Village III, 9 Lung Wah Street, Hong Kong, China</t>
  </si>
  <si>
    <t>u3009305@connect.hku.hk</t>
  </si>
  <si>
    <t>852-59549813</t>
  </si>
  <si>
    <t>Jinyoung</t>
  </si>
  <si>
    <t>Oh</t>
  </si>
  <si>
    <t>Gwangju Institute of Science and Technology</t>
  </si>
  <si>
    <t>123, Cheomdangwagi-ro, Buk-gu, Gwangju, Republic of Korea</t>
  </si>
  <si>
    <t>Gwangju</t>
  </si>
  <si>
    <t>jiny3774@gm.gist.ac.kr</t>
  </si>
  <si>
    <t>Jinzheng</t>
  </si>
  <si>
    <t>Associate professor</t>
  </si>
  <si>
    <t>Lingang Laboratory</t>
  </si>
  <si>
    <t>No. 100, Banxia Road, Pudong new district, Shanghai,China</t>
  </si>
  <si>
    <t>Shanghai</t>
  </si>
  <si>
    <t>jzwang@lglab.ac.cn</t>
  </si>
  <si>
    <t>+86 15250964851</t>
  </si>
  <si>
    <t>Jiwon</t>
  </si>
  <si>
    <t>Seo</t>
  </si>
  <si>
    <t>GIST</t>
  </si>
  <si>
    <t>123 Cheomdan-gwagiro, Buk-gu</t>
  </si>
  <si>
    <t>jseo@gist.ac.kr</t>
  </si>
  <si>
    <t>Jody</t>
  </si>
  <si>
    <t>Mason</t>
  </si>
  <si>
    <t>University of Bath</t>
  </si>
  <si>
    <t>Department of Biology and Biochemistry</t>
  </si>
  <si>
    <t>Claverton Down</t>
  </si>
  <si>
    <t>Bath</t>
  </si>
  <si>
    <t>BA2 7AY</t>
  </si>
  <si>
    <t>j.mason@bath.ac.uk</t>
  </si>
  <si>
    <t>Joel</t>
  </si>
  <si>
    <t>Schneider</t>
  </si>
  <si>
    <t>National Cancer Institute at Frederick</t>
  </si>
  <si>
    <t>1050 Boyles Street</t>
  </si>
  <si>
    <t>Building 376</t>
  </si>
  <si>
    <t>joel.schneider@nih.gov</t>
  </si>
  <si>
    <t>240-675-3862</t>
  </si>
  <si>
    <t>Yeh</t>
  </si>
  <si>
    <t>CSHL</t>
  </si>
  <si>
    <t>1 Bungtown Rd</t>
  </si>
  <si>
    <t>Cold Spring Harbor</t>
  </si>
  <si>
    <t>jyeh@cshl.edu</t>
  </si>
  <si>
    <t>DiMaio</t>
  </si>
  <si>
    <t>Senior Associate</t>
  </si>
  <si>
    <t>Hodgson Russ LLP - Buffalo, NY</t>
  </si>
  <si>
    <t>The Guaranty Building</t>
  </si>
  <si>
    <t>140 Pearl Street, Suite 100</t>
  </si>
  <si>
    <t>Buffalo</t>
  </si>
  <si>
    <t>jdimaio@hodgsonruss.com</t>
  </si>
  <si>
    <t>Gleeson</t>
  </si>
  <si>
    <t>Associate Principal Scientist</t>
  </si>
  <si>
    <t>Merck &amp; Co.</t>
  </si>
  <si>
    <t>2025 E Scott Ave</t>
  </si>
  <si>
    <t>john.gleeson1@merck.com</t>
  </si>
  <si>
    <t>Director of chemistry</t>
  </si>
  <si>
    <t>MBX Bioscience</t>
  </si>
  <si>
    <t>5225 Exploration drive</t>
  </si>
  <si>
    <t>jlee@mbxbio.com</t>
  </si>
  <si>
    <t>Mayer</t>
  </si>
  <si>
    <t>Research Scientist</t>
  </si>
  <si>
    <t>University of Colorado, Boulder</t>
  </si>
  <si>
    <t>3850 14th street</t>
  </si>
  <si>
    <t>Boulder</t>
  </si>
  <si>
    <t>John.Mayer@Colorado.edu</t>
  </si>
  <si>
    <t>Siegel</t>
  </si>
  <si>
    <t>Vice President of Business Development</t>
  </si>
  <si>
    <t>JY MedTech</t>
  </si>
  <si>
    <t>address 8th Floor, Building 1, Shenzhen Biomedicine Innovation Industrial</t>
  </si>
  <si>
    <t>John.Siegel@jymedtech.com</t>
  </si>
  <si>
    <t>Jon</t>
  </si>
  <si>
    <t>Collins</t>
  </si>
  <si>
    <t>VP Business Development</t>
  </si>
  <si>
    <t>jon.collins@cem.com</t>
  </si>
  <si>
    <t>Jonathan</t>
  </si>
  <si>
    <t>Edelman</t>
  </si>
  <si>
    <t>General Manager</t>
  </si>
  <si>
    <t>Daiso Inc</t>
  </si>
  <si>
    <t>1543 S Camac st</t>
  </si>
  <si>
    <t>Philadelphia</t>
  </si>
  <si>
    <t>jedelman@osaka-soda.co.jp</t>
  </si>
  <si>
    <t>Franke</t>
  </si>
  <si>
    <t>M. Sc.</t>
  </si>
  <si>
    <t>Leibniz-Forschungsinstitut für Molekulare Pharmakologie im Forschungsverbund Berlin e.V. (FMP)</t>
  </si>
  <si>
    <t>Platz der Vereinten Nationen 27</t>
  </si>
  <si>
    <t>jfranke@fmp-berlin.de</t>
  </si>
  <si>
    <t>Jordan</t>
  </si>
  <si>
    <t>Owyoung</t>
  </si>
  <si>
    <t>Founding Scientist</t>
  </si>
  <si>
    <t>Bio Regs</t>
  </si>
  <si>
    <t>417 E Carmel St</t>
  </si>
  <si>
    <t>Ste 101</t>
  </si>
  <si>
    <t>San diego</t>
  </si>
  <si>
    <t>jordan.o@bioregs.com</t>
  </si>
  <si>
    <t>Jordi</t>
  </si>
  <si>
    <t>Alsina</t>
  </si>
  <si>
    <t>5463 North Capitol Ave</t>
  </si>
  <si>
    <t>alsina-fernandez_jorge@lilly.com</t>
  </si>
  <si>
    <t>Hintzen</t>
  </si>
  <si>
    <t>Postdoctoral researcher</t>
  </si>
  <si>
    <t>University of Pennsylvania</t>
  </si>
  <si>
    <t>241 S 49th St</t>
  </si>
  <si>
    <t>Apt 115</t>
  </si>
  <si>
    <t>jordi.hintzen@pennmedicine.upenn.edu</t>
  </si>
  <si>
    <t>Jordyn</t>
  </si>
  <si>
    <t>Pieper</t>
  </si>
  <si>
    <t>College of Charleston</t>
  </si>
  <si>
    <t>66 George Street</t>
  </si>
  <si>
    <t>Charleston</t>
  </si>
  <si>
    <t>SC</t>
  </si>
  <si>
    <t>pieperje@g.cofc.edu</t>
  </si>
  <si>
    <t>Joseph</t>
  </si>
  <si>
    <t>Brown</t>
  </si>
  <si>
    <t>Staff Scientist</t>
  </si>
  <si>
    <t>Acceleration Consortium</t>
  </si>
  <si>
    <t>700 University Ave</t>
  </si>
  <si>
    <t>Room 10005</t>
  </si>
  <si>
    <t>Toronto</t>
  </si>
  <si>
    <t>ON</t>
  </si>
  <si>
    <t>M5G1X6</t>
  </si>
  <si>
    <t>josephsbrown1@gmail.com</t>
  </si>
  <si>
    <t>Josh</t>
  </si>
  <si>
    <t>Bryak</t>
  </si>
  <si>
    <t>Account Manager</t>
  </si>
  <si>
    <t>3100 Smith Farm Rd</t>
  </si>
  <si>
    <t>28104-5044</t>
  </si>
  <si>
    <t>josh.bryak@cem.com</t>
  </si>
  <si>
    <t>Joshua</t>
  </si>
  <si>
    <t>Kritzer</t>
  </si>
  <si>
    <t>62 Talbot Ave</t>
  </si>
  <si>
    <t>joshua.kritzer@tufts.edu</t>
  </si>
  <si>
    <t>617-627-0451</t>
  </si>
  <si>
    <t>Price</t>
  </si>
  <si>
    <t>Brigham Young University</t>
  </si>
  <si>
    <t>C100 BNSN</t>
  </si>
  <si>
    <t>Provo</t>
  </si>
  <si>
    <t>chemjosh@gmail.com</t>
  </si>
  <si>
    <t>Schwochert</t>
  </si>
  <si>
    <t>Co-Founder and CSO</t>
  </si>
  <si>
    <t>Unnatural Products</t>
  </si>
  <si>
    <t>2161 Delaware</t>
  </si>
  <si>
    <t>Suite A</t>
  </si>
  <si>
    <t>Santa Cruz</t>
  </si>
  <si>
    <t>joshua.schwochert@unnaturalproducts.com</t>
  </si>
  <si>
    <t>805 404 6488</t>
  </si>
  <si>
    <t>Josue</t>
  </si>
  <si>
    <t>Alfaro-Lopez</t>
  </si>
  <si>
    <t>12622 Torrey Bluff Dr. Apt. 337</t>
  </si>
  <si>
    <t>jalfaro-lopez@neurocrine.com</t>
  </si>
  <si>
    <t>617-610-4571</t>
  </si>
  <si>
    <t>Juan</t>
  </si>
  <si>
    <t>Bello</t>
  </si>
  <si>
    <t>Applications Technician</t>
  </si>
  <si>
    <t>juan.bello@gyrosproteintech.com</t>
  </si>
  <si>
    <t>Dantis</t>
  </si>
  <si>
    <t>Development of Immunoproteasome Substrate Labeling Assays (iSLAy)</t>
  </si>
  <si>
    <t>73000 VERANO RD</t>
  </si>
  <si>
    <t>jdantis@uci.edu</t>
  </si>
  <si>
    <t>Del Valle</t>
  </si>
  <si>
    <t>100 McCourtney Hall</t>
  </si>
  <si>
    <t>46556-5708</t>
  </si>
  <si>
    <t>jdelvalle@nd.edu</t>
  </si>
  <si>
    <t>Hu</t>
  </si>
  <si>
    <t>San Diego State University</t>
  </si>
  <si>
    <t>CSL408, 5500 Campanile Drive</t>
  </si>
  <si>
    <t>jhu8@sdsu.edu</t>
  </si>
  <si>
    <t>Juerg</t>
  </si>
  <si>
    <t>Tschopp</t>
  </si>
  <si>
    <t>Stratum Medical</t>
  </si>
  <si>
    <t>6199 Cornerstone Court</t>
  </si>
  <si>
    <t>Suite 111</t>
  </si>
  <si>
    <t>jtschopp@StratumMedical.com</t>
  </si>
  <si>
    <t>Julia</t>
  </si>
  <si>
    <t>Oktawiec</t>
  </si>
  <si>
    <t>Northwestern University / University of Illinois Chicago</t>
  </si>
  <si>
    <t>1414 W School St</t>
  </si>
  <si>
    <t>julokta@gmail.com</t>
  </si>
  <si>
    <t>Juliana</t>
  </si>
  <si>
    <t>Tong</t>
  </si>
  <si>
    <t>5678 Scripps Street</t>
  </si>
  <si>
    <t>jutong@scripps.edu</t>
  </si>
  <si>
    <t>Julie</t>
  </si>
  <si>
    <t>126 E. Lincoln Avenue</t>
  </si>
  <si>
    <t>Rashway</t>
  </si>
  <si>
    <t>julie.lee@merck.com</t>
  </si>
  <si>
    <t>(732) 594-0755</t>
  </si>
  <si>
    <t>Jun</t>
  </si>
  <si>
    <t>Ohata</t>
  </si>
  <si>
    <t>North Carolina State University</t>
  </si>
  <si>
    <t>2620 Yarbrough Drive</t>
  </si>
  <si>
    <t>527A Dabney Hall</t>
  </si>
  <si>
    <t>Raleigh, NC</t>
  </si>
  <si>
    <t>johata@ncsu.edu</t>
  </si>
  <si>
    <t>JUNE</t>
  </si>
  <si>
    <t>GU</t>
  </si>
  <si>
    <t>Asian Marketing Manager</t>
  </si>
  <si>
    <t>Suzhou Highfine Biotech Co.,Ltd.</t>
  </si>
  <si>
    <t>NO.1 CHANGTING ROAD, NEW DISTRICT, SUZHOU, CHINA</t>
  </si>
  <si>
    <t>Suzhou</t>
  </si>
  <si>
    <t>June@highfine.com</t>
  </si>
  <si>
    <t>Junfeng</t>
  </si>
  <si>
    <t>zhao</t>
  </si>
  <si>
    <t>Guangzhou Medical University</t>
  </si>
  <si>
    <t>No. 1 Xinzao Road, Panyu District</t>
  </si>
  <si>
    <t>Guangzhou</t>
  </si>
  <si>
    <t>zhaojf@gzhmu.edu.cn</t>
  </si>
  <si>
    <t>Jung-Mo</t>
  </si>
  <si>
    <t>Ahn</t>
  </si>
  <si>
    <t>800 W. Campbell Rd.</t>
  </si>
  <si>
    <t>BSB-13</t>
  </si>
  <si>
    <t>Richardson</t>
  </si>
  <si>
    <t>jungmo.ahn@utdallas.edu</t>
  </si>
  <si>
    <t>972-883-2917</t>
  </si>
  <si>
    <t>Jutta</t>
  </si>
  <si>
    <t>Eichler</t>
  </si>
  <si>
    <t>Department of Chemistry and Pharmacy, University of Erlangen-Nurnberg</t>
  </si>
  <si>
    <t>jutta.eichler@fau.de</t>
  </si>
  <si>
    <t>kaleb</t>
  </si>
  <si>
    <t>woods</t>
  </si>
  <si>
    <t>peptide fountain</t>
  </si>
  <si>
    <t>2863 franklin rd</t>
  </si>
  <si>
    <t>Lawrenceville</t>
  </si>
  <si>
    <t>peptidefountain@gmail.com</t>
  </si>
  <si>
    <t>Kalyaneswar</t>
  </si>
  <si>
    <t>Mandal</t>
  </si>
  <si>
    <t>Associate Professor, Tata Institute of Fundamental Research Hyderabad</t>
  </si>
  <si>
    <t>36/p Gopanpally</t>
  </si>
  <si>
    <t>Hyderabad</t>
  </si>
  <si>
    <t>kmandal@tifrh.res.in</t>
  </si>
  <si>
    <t>Karizza Faith</t>
  </si>
  <si>
    <t>Catenza</t>
  </si>
  <si>
    <t>12710 127 Street Northwest</t>
  </si>
  <si>
    <t>T5L 1A5</t>
  </si>
  <si>
    <t>karizza@ualberta.ca</t>
  </si>
  <si>
    <t>Karl</t>
  </si>
  <si>
    <t>Ocius</t>
  </si>
  <si>
    <t>"A peptide-based platform for screening activity &amp; inhibitors of Mycobacterium L,D-transpeptidases "</t>
  </si>
  <si>
    <t>University of Virginia</t>
  </si>
  <si>
    <t>2035 inglewood drive</t>
  </si>
  <si>
    <t>Charlottesville</t>
  </si>
  <si>
    <t>klo2vf@virginia.edu</t>
  </si>
  <si>
    <t>Katherine</t>
  </si>
  <si>
    <t>Albanese</t>
  </si>
  <si>
    <t>Wake Forest University</t>
  </si>
  <si>
    <t>455 Vine St</t>
  </si>
  <si>
    <t>Winston Salem</t>
  </si>
  <si>
    <t>albanek@wfu.edu</t>
  </si>
  <si>
    <t>Menendez</t>
  </si>
  <si>
    <t>The Graduate Center, CUNY / Brooklyn College, CUNY</t>
  </si>
  <si>
    <t>3765 18th AVE</t>
  </si>
  <si>
    <t>A24</t>
  </si>
  <si>
    <t>kmenendez@gradcenter.cuny.edu</t>
  </si>
  <si>
    <t>Kathryn</t>
  </si>
  <si>
    <t>Fincham</t>
  </si>
  <si>
    <t>Unit 8 166-168 Victoria St</t>
  </si>
  <si>
    <t>Brunswick</t>
  </si>
  <si>
    <t>kathryn.fincham@monash.edu</t>
  </si>
  <si>
    <t>Kaustav</t>
  </si>
  <si>
    <t>Sr. Principal Scientist</t>
  </si>
  <si>
    <t>Merck and Co.</t>
  </si>
  <si>
    <t>30 Marcellus Dr</t>
  </si>
  <si>
    <t>Newton</t>
  </si>
  <si>
    <t>kaustav.biswas@merck.com</t>
  </si>
  <si>
    <t>Keevin</t>
  </si>
  <si>
    <t>Key Account Manager</t>
  </si>
  <si>
    <t>Biosynth</t>
  </si>
  <si>
    <t>65 Zub Lane</t>
  </si>
  <si>
    <t>Gardner</t>
  </si>
  <si>
    <t>Keevin.Lee@biosynth.com</t>
  </si>
  <si>
    <t>Kei</t>
  </si>
  <si>
    <t>Katagiri</t>
  </si>
  <si>
    <t>Chugai Pharmaceutical / Discovery Chemistry Dept., Research Division</t>
  </si>
  <si>
    <t>#703, Luxena-hiratsuka, 6-21, Miyanomae</t>
  </si>
  <si>
    <t>Hiratsuka-shi, Kanagawa-ken</t>
  </si>
  <si>
    <t>katagiri.kei11@chugai-pharm.co.jp</t>
  </si>
  <si>
    <t>Kejia</t>
  </si>
  <si>
    <t>Yan</t>
  </si>
  <si>
    <t>11227 Saskatchewan Dr NW</t>
  </si>
  <si>
    <t>T6E 1S6</t>
  </si>
  <si>
    <t>kyan1@ualberta.ca</t>
  </si>
  <si>
    <t>Ken</t>
  </si>
  <si>
    <t>Hallenbeck</t>
  </si>
  <si>
    <t>Ry-80b-4900a</t>
  </si>
  <si>
    <t>07065-0900</t>
  </si>
  <si>
    <t>kenneth.hallenbeck@merck.com</t>
  </si>
  <si>
    <t>Lear</t>
  </si>
  <si>
    <t>ken.lear@gyrosproteintech.com</t>
  </si>
  <si>
    <t>Kenji</t>
  </si>
  <si>
    <t>Usui</t>
  </si>
  <si>
    <t>Faculty of Frontiers of Innovative Research in Science and Technology (FIRST), Konan University</t>
  </si>
  <si>
    <t>7-1-20 Minatojima-minamimachi, Chuo-ku</t>
  </si>
  <si>
    <t>Kobe</t>
  </si>
  <si>
    <t>kusui@konan-u.ac.jp</t>
  </si>
  <si>
    <t>Kevin</t>
  </si>
  <si>
    <t>McDonnell</t>
  </si>
  <si>
    <t>SVP Chemistry &amp; Discovery</t>
  </si>
  <si>
    <t>Eindura Therapeutics</t>
  </si>
  <si>
    <t>25 Forest Street</t>
  </si>
  <si>
    <t>gonesculling@gmail.com</t>
  </si>
  <si>
    <t>Wons</t>
  </si>
  <si>
    <t>Market Manager - Pharma/BioPharma</t>
  </si>
  <si>
    <t>Shimadzu Scientific Instruments</t>
  </si>
  <si>
    <t>10330 Old Columbia Road</t>
  </si>
  <si>
    <t>kswons@shimadzu.com</t>
  </si>
  <si>
    <t>Keykavous</t>
  </si>
  <si>
    <t>Parang</t>
  </si>
  <si>
    <t>Chapman University School of Pharmacy</t>
  </si>
  <si>
    <t>9401 Jeronimo Road</t>
  </si>
  <si>
    <t>parang@chapman.edu</t>
  </si>
  <si>
    <t>Khalilia</t>
  </si>
  <si>
    <t>Tillett</t>
  </si>
  <si>
    <t>Vilya</t>
  </si>
  <si>
    <t>400 Station Park Cir Unit 226</t>
  </si>
  <si>
    <t>San Mateo</t>
  </si>
  <si>
    <t>khalilia@vilyatx.com</t>
  </si>
  <si>
    <t>Kira</t>
  </si>
  <si>
    <t>Podolsky</t>
  </si>
  <si>
    <t>23 Ware St</t>
  </si>
  <si>
    <t>Apt 3</t>
  </si>
  <si>
    <t>kpodolsk@mit.edu</t>
  </si>
  <si>
    <t>Kit</t>
  </si>
  <si>
    <t>Lam</t>
  </si>
  <si>
    <t>Distinguished Professor</t>
  </si>
  <si>
    <t>University of California Davis</t>
  </si>
  <si>
    <t>2700 Stockton Blvd</t>
  </si>
  <si>
    <t>Sacramento</t>
  </si>
  <si>
    <t>kslam@ucdavis.edu</t>
  </si>
  <si>
    <t>916-734-0910</t>
  </si>
  <si>
    <t>Koki</t>
  </si>
  <si>
    <t>Shinohara</t>
  </si>
  <si>
    <t>Laboratory for Biomaterials and Bioengineering, Institute of Integrated Research, Institute of Science Tokyo</t>
  </si>
  <si>
    <t>Chiyoda-ku, kandasurugadai 3-1-10</t>
  </si>
  <si>
    <t>101-0062</t>
  </si>
  <si>
    <t>shinohara.kouki@tmd.ac.jp</t>
  </si>
  <si>
    <t>+81 90 6806 8546</t>
  </si>
  <si>
    <t>Yoshida</t>
  </si>
  <si>
    <t>Konan University</t>
  </si>
  <si>
    <t>7-1-20, Minatojima-minamimachi, Chuo-ku</t>
  </si>
  <si>
    <t>650-0047</t>
  </si>
  <si>
    <t>k-l.5-69.4oi@docomo.ne.jp</t>
  </si>
  <si>
    <t>Kota</t>
  </si>
  <si>
    <t>Saito</t>
  </si>
  <si>
    <t>Manager</t>
  </si>
  <si>
    <t>FUJIFILM Corporation</t>
  </si>
  <si>
    <t>7-3, Akasaka 9-chome</t>
  </si>
  <si>
    <t>Minto-ku</t>
  </si>
  <si>
    <t>kota.a.saito@fujifilm.com</t>
  </si>
  <si>
    <t>Krishna</t>
  </si>
  <si>
    <t>Kumar</t>
  </si>
  <si>
    <t>Robinson Professor of Chemistry</t>
  </si>
  <si>
    <t>62 Talbot Avenue</t>
  </si>
  <si>
    <t>02155-5813</t>
  </si>
  <si>
    <t>krishna.kumar@tufts.edu</t>
  </si>
  <si>
    <t>Kristiana</t>
  </si>
  <si>
    <t>Witte</t>
  </si>
  <si>
    <t>Graduate student/ Research Assistant</t>
  </si>
  <si>
    <t>North Carolina State University (NCSU)</t>
  </si>
  <si>
    <t>4109 Grand Manor Ct</t>
  </si>
  <si>
    <t>Apt 204</t>
  </si>
  <si>
    <t>Raleigh</t>
  </si>
  <si>
    <t>kristy.witte@gmail.com</t>
  </si>
  <si>
    <t>571-345-4472</t>
  </si>
  <si>
    <t>Lara</t>
  </si>
  <si>
    <t>Malins</t>
  </si>
  <si>
    <t>Australian National University</t>
  </si>
  <si>
    <t>Research School of Chemistry</t>
  </si>
  <si>
    <t>Canberra</t>
  </si>
  <si>
    <t>lara.malins@anu.edu.au</t>
  </si>
  <si>
    <t>Laura</t>
  </si>
  <si>
    <t>Hanold</t>
  </si>
  <si>
    <t>Biologist</t>
  </si>
  <si>
    <t>P.O. Box 100485</t>
  </si>
  <si>
    <t>hanoldl@ufl.edu</t>
  </si>
  <si>
    <t>434-221-8679</t>
  </si>
  <si>
    <t>Laura Marie</t>
  </si>
  <si>
    <t>Poller</t>
  </si>
  <si>
    <t>M.Sc.</t>
  </si>
  <si>
    <t>ETH Zurich</t>
  </si>
  <si>
    <t>Vladimir-Prelog-Weg 1-5</t>
  </si>
  <si>
    <t>Zurich</t>
  </si>
  <si>
    <t>laura.poller@org.chem.ethz.ch</t>
  </si>
  <si>
    <t>Lauren</t>
  </si>
  <si>
    <t>Cline</t>
  </si>
  <si>
    <t>Association Manager</t>
  </si>
  <si>
    <t>American Peptide Society</t>
  </si>
  <si>
    <t>1052 Hawthorn Rd</t>
  </si>
  <si>
    <t>Allentown</t>
  </si>
  <si>
    <t>apsoffice17@gmail.com</t>
  </si>
  <si>
    <t>Tran</t>
  </si>
  <si>
    <t>University of Wisconsin-Madison</t>
  </si>
  <si>
    <t>510 W Main St</t>
  </si>
  <si>
    <t>lmtran2@wisc.edu</t>
  </si>
  <si>
    <t>Laurie</t>
  </si>
  <si>
    <t>Parker</t>
  </si>
  <si>
    <t>3625 Belden Dr NE</t>
  </si>
  <si>
    <t>llparker@umn.edu</t>
  </si>
  <si>
    <t>Leah</t>
  </si>
  <si>
    <t>Witus</t>
  </si>
  <si>
    <t>Associate Professor of Chemistry</t>
  </si>
  <si>
    <t>Macalester College</t>
  </si>
  <si>
    <t>1600 Grand Ave</t>
  </si>
  <si>
    <t>Saint Paul</t>
  </si>
  <si>
    <t>lwitus@macalester.edu</t>
  </si>
  <si>
    <t>Leander</t>
  </si>
  <si>
    <t>Crocker</t>
  </si>
  <si>
    <t>Leibniz-Forschungsinstitut für Molekulare Pharmakologie</t>
  </si>
  <si>
    <t>Stuttgarter Platz 2</t>
  </si>
  <si>
    <t>crocker@fmp-berlin.de</t>
  </si>
  <si>
    <t>Lei</t>
  </si>
  <si>
    <t>Posdoctoral researcher</t>
  </si>
  <si>
    <t>Purdue university</t>
  </si>
  <si>
    <t>2108 KYRA Dr</t>
  </si>
  <si>
    <t>Lafayette</t>
  </si>
  <si>
    <t>wang6398@purdue.edu</t>
  </si>
  <si>
    <t>Lena</t>
  </si>
  <si>
    <t>Beiersdörfer</t>
  </si>
  <si>
    <t>MSc</t>
  </si>
  <si>
    <t>lena.beiersdoerfer@org.chem.ethz.ch</t>
  </si>
  <si>
    <t>0041 79 740 53 71</t>
  </si>
  <si>
    <t>Leslie</t>
  </si>
  <si>
    <t>Ofori</t>
  </si>
  <si>
    <t>Senior Principal Scientist</t>
  </si>
  <si>
    <t>Novartis</t>
  </si>
  <si>
    <t>10675 John Jay Hopkins Dr.</t>
  </si>
  <si>
    <t>leslie.ofori@novartis.com</t>
  </si>
  <si>
    <t>585-210-5935</t>
  </si>
  <si>
    <t>Lewis</t>
  </si>
  <si>
    <t>Yuan</t>
  </si>
  <si>
    <t>Director of Operations</t>
  </si>
  <si>
    <t>lewis@chemimpex.com</t>
  </si>
  <si>
    <t>Liam</t>
  </si>
  <si>
    <t>Tucker</t>
  </si>
  <si>
    <t>3 Rogers Close</t>
  </si>
  <si>
    <t>NR58RW</t>
  </si>
  <si>
    <t>L.Tucker@uea.ac.uk</t>
  </si>
  <si>
    <t>Lihu</t>
  </si>
  <si>
    <t>Head of Discovery Chemistry US</t>
  </si>
  <si>
    <t>87 Cambridgepark Dr,</t>
  </si>
  <si>
    <t>lihu.yang@ucb.com</t>
  </si>
  <si>
    <t>Lijuan</t>
  </si>
  <si>
    <t>Zhou</t>
  </si>
  <si>
    <t>lijuanz@gene.com</t>
  </si>
  <si>
    <t>Lila</t>
  </si>
  <si>
    <t>Gierasch</t>
  </si>
  <si>
    <t>University of Massachusetts Amherst</t>
  </si>
  <si>
    <t>582 Pfersick Rd</t>
  </si>
  <si>
    <t>Shelburne Falls</t>
  </si>
  <si>
    <t>gierasch@biochem.umass.edu</t>
  </si>
  <si>
    <t>Lindon</t>
  </si>
  <si>
    <t>Young</t>
  </si>
  <si>
    <t>Philadelphia College of Osteopathic Medicine</t>
  </si>
  <si>
    <t>4170 City Ave</t>
  </si>
  <si>
    <t>Lindonyo@pcom.edu</t>
  </si>
  <si>
    <t>215-871-6832</t>
  </si>
  <si>
    <t>Lindsay</t>
  </si>
  <si>
    <t>2636 Stringham Ave</t>
  </si>
  <si>
    <t>A104</t>
  </si>
  <si>
    <t>lindsay.allen@biochem.utah.edu</t>
  </si>
  <si>
    <t>Linh</t>
  </si>
  <si>
    <t>1016 Washington Ave SE</t>
  </si>
  <si>
    <t>tran1055@umn.edu</t>
  </si>
  <si>
    <t>Linzhongyi</t>
  </si>
  <si>
    <t>lisun@scripps.edu</t>
  </si>
  <si>
    <t>Lisa</t>
  </si>
  <si>
    <t>Chief Commerical Officer</t>
  </si>
  <si>
    <t>LYW Consulting Services, LLC</t>
  </si>
  <si>
    <t>79 Walnut St.</t>
  </si>
  <si>
    <t>lywconsultingservices@gmail.com</t>
  </si>
  <si>
    <t>long</t>
  </si>
  <si>
    <t>wang</t>
  </si>
  <si>
    <t>Tianjin Nankai Hecheng S&amp;T Co.,Ltd.</t>
  </si>
  <si>
    <t>969-6#, Kaixuan Street, Dagang Petrochemical Park, Binhai New District,</t>
  </si>
  <si>
    <t>danielwang@tjhecheng.com</t>
  </si>
  <si>
    <t>Louis-David</t>
  </si>
  <si>
    <t>Guay</t>
  </si>
  <si>
    <t>Université Laval</t>
  </si>
  <si>
    <t>153 rue racine</t>
  </si>
  <si>
    <t>Boischatel</t>
  </si>
  <si>
    <t>G0A 1H0</t>
  </si>
  <si>
    <t>louis-david.guay.2@ulaval.ca</t>
  </si>
  <si>
    <t>Louise</t>
  </si>
  <si>
    <t>Walport</t>
  </si>
  <si>
    <t>Imperial College London and The Francis Crick Institute</t>
  </si>
  <si>
    <t>l.walport@imperial.ac.uk</t>
  </si>
  <si>
    <t>Luca</t>
  </si>
  <si>
    <t>Danieli</t>
  </si>
  <si>
    <t>1-15-19 Hakusan</t>
  </si>
  <si>
    <t>Rivuieeru Hakusan 102</t>
  </si>
  <si>
    <t>Bunkyo</t>
  </si>
  <si>
    <t>luca-danieli@g.ecc.u-tokyo.ac.jp</t>
  </si>
  <si>
    <t>+81 090-9292-5851</t>
  </si>
  <si>
    <t>Lucia</t>
  </si>
  <si>
    <t>Lombardi</t>
  </si>
  <si>
    <t>Assistant Rpofessor</t>
  </si>
  <si>
    <t>Queen's University Belfast</t>
  </si>
  <si>
    <t>19 Chlorine road</t>
  </si>
  <si>
    <t>Belfast</t>
  </si>
  <si>
    <t>BT9 5DL</t>
  </si>
  <si>
    <t>l.lombardi@qub.ac.uk</t>
  </si>
  <si>
    <t>Luckner</t>
  </si>
  <si>
    <t>Ulysse</t>
  </si>
  <si>
    <t>Vice President, Site Manager</t>
  </si>
  <si>
    <t>1271 avenida Chelsea</t>
  </si>
  <si>
    <t>Vista</t>
  </si>
  <si>
    <t>luckner.ulysse@gmail.com</t>
  </si>
  <si>
    <t>Lucrezia</t>
  </si>
  <si>
    <t>Sforzi</t>
  </si>
  <si>
    <t>PhD student</t>
  </si>
  <si>
    <t>Interdepartmental Research Unit of Peptide and Protein Chemistry and Biology, University of Florence, Department of NeuroFarBaSesto Fiorentino</t>
  </si>
  <si>
    <t>Via Ugo Schiff, 6</t>
  </si>
  <si>
    <t>lucrezia.sforzi@unifi.it</t>
  </si>
  <si>
    <t>Madeline</t>
  </si>
  <si>
    <t>Swanson</t>
  </si>
  <si>
    <t>Undergrad</t>
  </si>
  <si>
    <t>University of North Carolina Wilmington</t>
  </si>
  <si>
    <t>15 Wilson Ln</t>
  </si>
  <si>
    <t>Fletcher</t>
  </si>
  <si>
    <t>mes4972@uncw.edu</t>
  </si>
  <si>
    <t>MADHURESH KUMAR</t>
  </si>
  <si>
    <t>SETHI</t>
  </si>
  <si>
    <t>Head</t>
  </si>
  <si>
    <t>Mylan</t>
  </si>
  <si>
    <t>67, Srila Park Pride Road Manjeera Water Works Road</t>
  </si>
  <si>
    <t>MIYAPUR</t>
  </si>
  <si>
    <t>HYDERABAD TELANGANA</t>
  </si>
  <si>
    <t>madhureshsethi65@gmail.com</t>
  </si>
  <si>
    <t>Wright</t>
  </si>
  <si>
    <t>713 N Frances Street</t>
  </si>
  <si>
    <t>mwrigh24@nd.edu</t>
  </si>
  <si>
    <t>(937)336-9163</t>
  </si>
  <si>
    <t>Magdalena</t>
  </si>
  <si>
    <t>DiGiorno</t>
  </si>
  <si>
    <t>64 Winnebago Rd.</t>
  </si>
  <si>
    <t>Yonkers</t>
  </si>
  <si>
    <t>mdigiorno1@fordham.edu</t>
  </si>
  <si>
    <t>Mahdi</t>
  </si>
  <si>
    <t>Hasan</t>
  </si>
  <si>
    <t>Haifa technion faculty of chemistry</t>
  </si>
  <si>
    <t>hiafa</t>
  </si>
  <si>
    <t>mahdi.hasan@campus.technion.ac.il</t>
  </si>
  <si>
    <t>Maja</t>
  </si>
  <si>
    <t>Köhn</t>
  </si>
  <si>
    <t>University of Bonn</t>
  </si>
  <si>
    <t>Käthe-Kümmel-Str. 1</t>
  </si>
  <si>
    <t>Bonn</t>
  </si>
  <si>
    <t>mkoehn@uni-bonn.de</t>
  </si>
  <si>
    <t>Maneesh</t>
  </si>
  <si>
    <t>Pingle</t>
  </si>
  <si>
    <t>Executive Vice President and Head of Discovery Services</t>
  </si>
  <si>
    <t>n/a</t>
  </si>
  <si>
    <t>Boston</t>
  </si>
  <si>
    <t>maneesh.p@sailife.com</t>
  </si>
  <si>
    <t>(646)831-8125</t>
  </si>
  <si>
    <t>Manjula</t>
  </si>
  <si>
    <t>Pallerla</t>
  </si>
  <si>
    <t>Associate Director • Medicinal Chemistry</t>
  </si>
  <si>
    <t>Unit 02 ICICI Knowledge Park</t>
  </si>
  <si>
    <t>Hyderabad Telagana</t>
  </si>
  <si>
    <t>manjula.p@sailife.com</t>
  </si>
  <si>
    <t>Marc</t>
  </si>
  <si>
    <t>Head of Strategic Development</t>
  </si>
  <si>
    <t>mjacob@ymcamerica.com</t>
  </si>
  <si>
    <t>Marcelo</t>
  </si>
  <si>
    <t>Munoz</t>
  </si>
  <si>
    <t>University of Ottawa Heart Institute</t>
  </si>
  <si>
    <t>40 Ruskin St.</t>
  </si>
  <si>
    <t>H5229</t>
  </si>
  <si>
    <t>Ottawa</t>
  </si>
  <si>
    <t>K!Y 4W7</t>
  </si>
  <si>
    <t>mamunoz1@gmail.com</t>
  </si>
  <si>
    <t>Marcey</t>
  </si>
  <si>
    <t>Waters</t>
  </si>
  <si>
    <t>UNC Chapel Hill</t>
  </si>
  <si>
    <t>Dept of Chemistry, CB 3290</t>
  </si>
  <si>
    <t>mlwaters@email.unc.edu</t>
  </si>
  <si>
    <t>marco</t>
  </si>
  <si>
    <t>mravic</t>
  </si>
  <si>
    <t>10330 John Jay Hoplins Dr</t>
  </si>
  <si>
    <t>mmravic@scripps.edu</t>
  </si>
  <si>
    <t>Marcos</t>
  </si>
  <si>
    <t>Pires</t>
  </si>
  <si>
    <t>409 McCormick Rd</t>
  </si>
  <si>
    <t>Chemistry 212</t>
  </si>
  <si>
    <t>mpires@virginia.edu</t>
  </si>
  <si>
    <t>Marcus</t>
  </si>
  <si>
    <t>Mifflin</t>
  </si>
  <si>
    <t>Department of Chemistry, University of Utah</t>
  </si>
  <si>
    <t>315 S 1400 E</t>
  </si>
  <si>
    <t>m.mifflin@utah.edu</t>
  </si>
  <si>
    <t>Marcy</t>
  </si>
  <si>
    <t>15 N MEDICAL DR E RM 4100</t>
  </si>
  <si>
    <t>84112-8930</t>
  </si>
  <si>
    <t>marcy.mitchell@biochem.utah.edu</t>
  </si>
  <si>
    <t>Margaret</t>
  </si>
  <si>
    <t>Brimble</t>
  </si>
  <si>
    <t>705/223A Green Lane West</t>
  </si>
  <si>
    <t>Epsom</t>
  </si>
  <si>
    <t>m.brimble@auckland.ac.nz</t>
  </si>
  <si>
    <t>Maria</t>
  </si>
  <si>
    <t>Ufret</t>
  </si>
  <si>
    <t>Site Manager</t>
  </si>
  <si>
    <t>Maria.Ufret@biosynth.com</t>
  </si>
  <si>
    <t>+1 978 630 0020</t>
  </si>
  <si>
    <t>Maria Sophia Teresa</t>
  </si>
  <si>
    <t>PADILLA</t>
  </si>
  <si>
    <t>8700 Palo Verde Road</t>
  </si>
  <si>
    <t>Apt 8719</t>
  </si>
  <si>
    <t>mariasp1@uci.edu</t>
  </si>
  <si>
    <t>Marian</t>
  </si>
  <si>
    <t>1400 McKean Road</t>
  </si>
  <si>
    <t>Spring House</t>
  </si>
  <si>
    <t>mbryan4@its.jnj.com</t>
  </si>
  <si>
    <t>Marina</t>
  </si>
  <si>
    <t>Spenciner</t>
  </si>
  <si>
    <t>219 Holland St</t>
  </si>
  <si>
    <t>Somerville</t>
  </si>
  <si>
    <t>spenciner@gmail.com</t>
  </si>
  <si>
    <t>Mark</t>
  </si>
  <si>
    <t>Distefano</t>
  </si>
  <si>
    <t>207 Pleasant St. SE</t>
  </si>
  <si>
    <t>diste001@umn.edu</t>
  </si>
  <si>
    <t>Frigerio</t>
  </si>
  <si>
    <t>VP, Platform Technology &amp; Science</t>
  </si>
  <si>
    <t>Bicycle Therapeutics</t>
  </si>
  <si>
    <t>Portway Building</t>
  </si>
  <si>
    <t>Granta Park</t>
  </si>
  <si>
    <t>CB21 6GS</t>
  </si>
  <si>
    <t>mark.frigerio@bicycletx.com</t>
  </si>
  <si>
    <t>Research Assistant Professor</t>
  </si>
  <si>
    <t>Northwestern University</t>
  </si>
  <si>
    <t>303 E. Superior St.</t>
  </si>
  <si>
    <t>Lurie 11-257</t>
  </si>
  <si>
    <t>mark.karver@northwestern.edu</t>
  </si>
  <si>
    <t>312-503-6738</t>
  </si>
  <si>
    <t>Lipton</t>
  </si>
  <si>
    <t>560 Oval Dr.</t>
  </si>
  <si>
    <t>47907-2084</t>
  </si>
  <si>
    <t>lipton@purdue.edu</t>
  </si>
  <si>
    <t>765-494-0132</t>
  </si>
  <si>
    <t>Markus</t>
  </si>
  <si>
    <t>Muttenthaler</t>
  </si>
  <si>
    <t>Institute of Molecular Bioscience</t>
  </si>
  <si>
    <t>m.muttenthaler@uq.edu.au</t>
  </si>
  <si>
    <t>+61 7 3346 2982</t>
  </si>
  <si>
    <t>Maryna</t>
  </si>
  <si>
    <t>Gorelik</t>
  </si>
  <si>
    <t>ProteinQure</t>
  </si>
  <si>
    <t>119 Spadina Ave Suite 304</t>
  </si>
  <si>
    <t>M5V 2L1</t>
  </si>
  <si>
    <t>maryna@proteinqure.com</t>
  </si>
  <si>
    <t>Matteo</t>
  </si>
  <si>
    <t>Villain</t>
  </si>
  <si>
    <t>PharmD</t>
  </si>
  <si>
    <t>MV API Consulting</t>
  </si>
  <si>
    <t>5827 Sunmist Drive</t>
  </si>
  <si>
    <t>Rancho Palos Verdes</t>
  </si>
  <si>
    <t>MATTEOVILLAIN@HOTMAIL.COM</t>
  </si>
  <si>
    <t>Matthew</t>
  </si>
  <si>
    <t>Crawford</t>
  </si>
  <si>
    <t>Rilas Technologies Inc.</t>
  </si>
  <si>
    <t>400 W Cummings Park Ste 5000</t>
  </si>
  <si>
    <t>mcrawford@rilastech.com</t>
  </si>
  <si>
    <t>Fleming</t>
  </si>
  <si>
    <t>603 Science Dr.</t>
  </si>
  <si>
    <t>matt.fleming@abbvie.com</t>
  </si>
  <si>
    <t>605-481-8495</t>
  </si>
  <si>
    <t>Kubasik</t>
  </si>
  <si>
    <t>mkubasik@fairfield.edu</t>
  </si>
  <si>
    <t>Lloyd</t>
  </si>
  <si>
    <t>2550 South Main St. #1207</t>
  </si>
  <si>
    <t>matt.lloyd@biochem.utah.edu</t>
  </si>
  <si>
    <t>Naylor</t>
  </si>
  <si>
    <t>Assoc. Principal Scientist</t>
  </si>
  <si>
    <t>Souffle Therapeutics</t>
  </si>
  <si>
    <t>1 Autumn St</t>
  </si>
  <si>
    <t>Windham</t>
  </si>
  <si>
    <t>NH</t>
  </si>
  <si>
    <t>mnaylor@gmail.com</t>
  </si>
  <si>
    <t>Maxwell</t>
  </si>
  <si>
    <t>1701 Page Mill Rd</t>
  </si>
  <si>
    <t>mjaustin@stanford.edu</t>
  </si>
  <si>
    <t>801 499 0657</t>
  </si>
  <si>
    <t>Sigal</t>
  </si>
  <si>
    <t>Bunkyo-ku, Kohinata 1-22-8</t>
  </si>
  <si>
    <t>Grand Eggs Myogadani 103</t>
  </si>
  <si>
    <t>Tokyo-to</t>
  </si>
  <si>
    <t>112-0006</t>
  </si>
  <si>
    <t>maxwell-sigal@g.ecc.u-tokyo.ac.jp</t>
  </si>
  <si>
    <t>Mayuresh</t>
  </si>
  <si>
    <t>Gadgil</t>
  </si>
  <si>
    <t>111 Acklen Park Dr.</t>
  </si>
  <si>
    <t>Apt. 123</t>
  </si>
  <si>
    <t>mgadgil59@gmail.com</t>
  </si>
  <si>
    <t>Meena</t>
  </si>
  <si>
    <t>Co-Founder and Vice President</t>
  </si>
  <si>
    <t>meena@chemimpex.com</t>
  </si>
  <si>
    <t>megan</t>
  </si>
  <si>
    <t>sargent</t>
  </si>
  <si>
    <t>Ph.D. Student</t>
  </si>
  <si>
    <t>56 chapel street</t>
  </si>
  <si>
    <t>shirley</t>
  </si>
  <si>
    <t>megan.sargent@tufts.edu</t>
  </si>
  <si>
    <t>Michael</t>
  </si>
  <si>
    <t>Bertucci</t>
  </si>
  <si>
    <t>Lafayette College</t>
  </si>
  <si>
    <t>701 Sullivan Rd.</t>
  </si>
  <si>
    <t>Hugel Science Center</t>
  </si>
  <si>
    <t>Easton</t>
  </si>
  <si>
    <t>bertuccm@lafayette.edu</t>
  </si>
  <si>
    <t>610-330-5218</t>
  </si>
  <si>
    <t>Carrasco</t>
  </si>
  <si>
    <t>Santa Clara University</t>
  </si>
  <si>
    <t>500 El Camino Real</t>
  </si>
  <si>
    <t>Dept of Chemistry and Biochemistry</t>
  </si>
  <si>
    <t>Santa Clara</t>
  </si>
  <si>
    <t>mcarrasco@scu.edu</t>
  </si>
  <si>
    <t>President &amp; CEO</t>
  </si>
  <si>
    <t>amanda.dolinar@cem.com</t>
  </si>
  <si>
    <t>Ferracane</t>
  </si>
  <si>
    <t>michaelferracane@fullerton.edu</t>
  </si>
  <si>
    <t>Giuliano</t>
  </si>
  <si>
    <t>giulianomw@cofc.edu</t>
  </si>
  <si>
    <t>Jung</t>
  </si>
  <si>
    <t>Business Development Manager - Western Region</t>
  </si>
  <si>
    <t>michael.jung@cpcscientific.com</t>
  </si>
  <si>
    <t>Kopach</t>
  </si>
  <si>
    <t>Associate Vice President</t>
  </si>
  <si>
    <t>1400 W. Raymond St.</t>
  </si>
  <si>
    <t>kopach_michael@lilly.com</t>
  </si>
  <si>
    <t>Advisor Chemistry and Chemical Biology</t>
  </si>
  <si>
    <t>Protomer Technologies</t>
  </si>
  <si>
    <t>26 N Euclid Ave</t>
  </si>
  <si>
    <t>Floor 1</t>
  </si>
  <si>
    <t>michael.lee@lilly.com</t>
  </si>
  <si>
    <t>Taylor</t>
  </si>
  <si>
    <t>University of Arizona</t>
  </si>
  <si>
    <t>Department of Chemistry &amp; Biochemistry</t>
  </si>
  <si>
    <t>mtaylor6@arizona.edu</t>
  </si>
  <si>
    <t>520-626-6322</t>
  </si>
  <si>
    <t>michael</t>
  </si>
  <si>
    <t>wuo</t>
  </si>
  <si>
    <t>MRL Boston</t>
  </si>
  <si>
    <t>33 avenue Louis Pasteur</t>
  </si>
  <si>
    <t>michael.wuo@merck.com</t>
  </si>
  <si>
    <t>Michal</t>
  </si>
  <si>
    <t>Avital-Shmilovici</t>
  </si>
  <si>
    <t>2161 Delaware Ave</t>
  </si>
  <si>
    <t>michal.as@unnaturalproducts.com</t>
  </si>
  <si>
    <t>773-870-5031</t>
  </si>
  <si>
    <t>Michelle</t>
  </si>
  <si>
    <t>Arkin</t>
  </si>
  <si>
    <t>University of California, San Francisco</t>
  </si>
  <si>
    <t>600 16th St</t>
  </si>
  <si>
    <t>GH S512D</t>
  </si>
  <si>
    <t>Michelle.Arkin@ucsf.edu</t>
  </si>
  <si>
    <t>415-235-6373</t>
  </si>
  <si>
    <t>Mihir</t>
  </si>
  <si>
    <t>Thakar</t>
  </si>
  <si>
    <t>Phenomenex Inc,</t>
  </si>
  <si>
    <t>411 Madrid Ave</t>
  </si>
  <si>
    <t>mihirt@phenomenex.com</t>
  </si>
  <si>
    <t>Minghao</t>
  </si>
  <si>
    <t>Research Assistant I</t>
  </si>
  <si>
    <t>The Scripps Research Institute</t>
  </si>
  <si>
    <t>10550 N Torrey Pines Rd</t>
  </si>
  <si>
    <t>mizhang@scripps.edu</t>
  </si>
  <si>
    <t>Minhee</t>
  </si>
  <si>
    <t>Columbia University</t>
  </si>
  <si>
    <t>525 W 113th Street</t>
  </si>
  <si>
    <t>ml4551@columbia.edu</t>
  </si>
  <si>
    <t>Minsang</t>
  </si>
  <si>
    <t>Kim</t>
  </si>
  <si>
    <t>123, Cheomdangwagi-ro, Buk-gu</t>
  </si>
  <si>
    <t>411, College B building</t>
  </si>
  <si>
    <t>creamtic@gmail.com</t>
  </si>
  <si>
    <t>Mohaddeseh</t>
  </si>
  <si>
    <t>Abbasi</t>
  </si>
  <si>
    <t>PhD candidate</t>
  </si>
  <si>
    <t>Iowa state university</t>
  </si>
  <si>
    <t>2438 Pammel Dr</t>
  </si>
  <si>
    <t>3166 Hach Hall</t>
  </si>
  <si>
    <t>abbasi@iastate.edu</t>
  </si>
  <si>
    <t>Mónica</t>
  </si>
  <si>
    <t>Aróstica</t>
  </si>
  <si>
    <t>PhD in Biotechnology.</t>
  </si>
  <si>
    <t>Pontificia Universidad Católica de Valparaíso/ Universidad Técnica Federico Santa María</t>
  </si>
  <si>
    <t>av. universidad 330, Curauma, Valparaíso</t>
  </si>
  <si>
    <t>Valparaíso</t>
  </si>
  <si>
    <t>monica.arostica@gmail.com</t>
  </si>
  <si>
    <t>Muhammad</t>
  </si>
  <si>
    <t>Jbara</t>
  </si>
  <si>
    <t>Tel Aviv University</t>
  </si>
  <si>
    <t>School of Chemistry, Tel Aviv University</t>
  </si>
  <si>
    <t>Tel Aviv-Yafo</t>
  </si>
  <si>
    <t>jbara.m90@gmail.com</t>
  </si>
  <si>
    <t>Mulate Zerihun</t>
  </si>
  <si>
    <t>Workeneh</t>
  </si>
  <si>
    <t>Bar-Ilan University</t>
  </si>
  <si>
    <t>The Azrieli Faculty of Medicine, Bar-Ilan University</t>
  </si>
  <si>
    <t>Safed</t>
  </si>
  <si>
    <t>mulatezerihun@yahoo.com</t>
  </si>
  <si>
    <t>Murray</t>
  </si>
  <si>
    <t>Wan</t>
  </si>
  <si>
    <t>Mariana Oncology a Novartis Company</t>
  </si>
  <si>
    <t>155 Sturges Street</t>
  </si>
  <si>
    <t>mwan@marianaoncology.com</t>
  </si>
  <si>
    <t>516-404-0470</t>
  </si>
  <si>
    <t>Nadiia</t>
  </si>
  <si>
    <t>Kovalenko</t>
  </si>
  <si>
    <t>CordenPharma</t>
  </si>
  <si>
    <t>16200 West County Road 18E</t>
  </si>
  <si>
    <t>Loveland</t>
  </si>
  <si>
    <t>TR15 3DQ</t>
  </si>
  <si>
    <t>nadiia.kovalenko@cordenpharma.com</t>
  </si>
  <si>
    <t>Nadine</t>
  </si>
  <si>
    <t>Peez</t>
  </si>
  <si>
    <t>Spectral Service AG</t>
  </si>
  <si>
    <t>Emil-Hoffmann-Str. 33</t>
  </si>
  <si>
    <t>Cologne</t>
  </si>
  <si>
    <t>nadine.peez@spectralservice.de</t>
  </si>
  <si>
    <t>Naoto</t>
  </si>
  <si>
    <t>Naruse</t>
  </si>
  <si>
    <t>Eisai Co. Ltd.</t>
  </si>
  <si>
    <t>5-1-3 Tokodai</t>
  </si>
  <si>
    <t>Tsukuba-shi, Ibaraki</t>
  </si>
  <si>
    <t>300-2635</t>
  </si>
  <si>
    <t>n4-naruse@hhc.eisai.co.jp</t>
  </si>
  <si>
    <t>Natalia</t>
  </si>
  <si>
    <t>Cano Sampaio</t>
  </si>
  <si>
    <t>Ph.D. candidate</t>
  </si>
  <si>
    <t>1430 Rosemary Ln, Apt F, South Bend, IN 46637</t>
  </si>
  <si>
    <t>ncanosam@nd.edu</t>
  </si>
  <si>
    <t>Nataliya</t>
  </si>
  <si>
    <t>Popovych</t>
  </si>
  <si>
    <t>Scientist 4</t>
  </si>
  <si>
    <t>popovycn@gene.com</t>
  </si>
  <si>
    <t>Nate</t>
  </si>
  <si>
    <t>Swentko</t>
  </si>
  <si>
    <t>Bioscience Account Manager</t>
  </si>
  <si>
    <t>nate.swentko@cem.com</t>
  </si>
  <si>
    <t>Naysilla</t>
  </si>
  <si>
    <t>Dayanara</t>
  </si>
  <si>
    <t>University of British Columbia</t>
  </si>
  <si>
    <t>2828 Yew St, 306</t>
  </si>
  <si>
    <t>Vancouver</t>
  </si>
  <si>
    <t>BC</t>
  </si>
  <si>
    <t>V6K4W5</t>
  </si>
  <si>
    <t>naysilla@chem.ubc.ca</t>
  </si>
  <si>
    <t>Nicholas</t>
  </si>
  <si>
    <t>Sawyer</t>
  </si>
  <si>
    <t>441 E. Fordham Rd., John Mulcahy Hall, Room 640</t>
  </si>
  <si>
    <t>nsawyer@fordham.edu</t>
  </si>
  <si>
    <t>Nicola</t>
  </si>
  <si>
    <t>Grasso</t>
  </si>
  <si>
    <t>University of Naples Federico II, Department of Pharmacy</t>
  </si>
  <si>
    <t>Via Domenico Montesano 49</t>
  </si>
  <si>
    <t>Napoli</t>
  </si>
  <si>
    <t>nicola.grasso@unina.it</t>
  </si>
  <si>
    <t>Nicolas</t>
  </si>
  <si>
    <t>Boyer</t>
  </si>
  <si>
    <t>BMB3-110</t>
  </si>
  <si>
    <t>nicolas.boyer@merck.com</t>
  </si>
  <si>
    <t>617-992-2548</t>
  </si>
  <si>
    <t>Nikki</t>
  </si>
  <si>
    <t>ntran27@csu.fullerton.edu</t>
  </si>
  <si>
    <t>Nima</t>
  </si>
  <si>
    <t>Adhami</t>
  </si>
  <si>
    <t>UCLA</t>
  </si>
  <si>
    <t>700 Rim Rd</t>
  </si>
  <si>
    <t>nimaadhami@g.ucla.edu</t>
  </si>
  <si>
    <t>Nimish</t>
  </si>
  <si>
    <t>Sutaria</t>
  </si>
  <si>
    <t>Pagari PharmaTech</t>
  </si>
  <si>
    <t>3525 Asset St</t>
  </si>
  <si>
    <t>Garland</t>
  </si>
  <si>
    <t>nimish@pagaripharma.com</t>
  </si>
  <si>
    <t>Nina</t>
  </si>
  <si>
    <t>Raasch</t>
  </si>
  <si>
    <t>Friedrich Alexander University Erlangen Nürnberg</t>
  </si>
  <si>
    <t>Nikolaus-Fiebiger-Straße 10</t>
  </si>
  <si>
    <t>nina.raasch@fau.de</t>
  </si>
  <si>
    <t>Ning</t>
  </si>
  <si>
    <t>Zhi</t>
  </si>
  <si>
    <t>Alan Scientific Inc</t>
  </si>
  <si>
    <t>11749 Split Tree Circle</t>
  </si>
  <si>
    <t>Potomac</t>
  </si>
  <si>
    <t>contactus@alanscientific.com</t>
  </si>
  <si>
    <t>Nir</t>
  </si>
  <si>
    <t>Qvit</t>
  </si>
  <si>
    <t>8 Henrietta Szold St.</t>
  </si>
  <si>
    <t>nir.qvit@biu.ac.il</t>
  </si>
  <si>
    <t>Nishant</t>
  </si>
  <si>
    <t>Raj</t>
  </si>
  <si>
    <t>Editing Macrocyclic peptides with Backbone modification to improve Oral Bioavailability</t>
  </si>
  <si>
    <t>Indian Institute of Science Bangalore</t>
  </si>
  <si>
    <t>NBH, indian institute of science (IISc Bangalore)</t>
  </si>
  <si>
    <t>bangalore, karnataka 560012</t>
  </si>
  <si>
    <t>bangalore</t>
  </si>
  <si>
    <t>nishantraj@iisc.ac.in</t>
  </si>
  <si>
    <t>+91 7667152058</t>
  </si>
  <si>
    <t>Nitika</t>
  </si>
  <si>
    <t>Kuchroo</t>
  </si>
  <si>
    <t>Sr Manager</t>
  </si>
  <si>
    <t>Aragen</t>
  </si>
  <si>
    <t>380 Woodview Avenue</t>
  </si>
  <si>
    <t>Morgan Hill</t>
  </si>
  <si>
    <t>nitika.kuchroo@aragen.com</t>
  </si>
  <si>
    <t>Nitika Gupta</t>
  </si>
  <si>
    <t>nitika.gupta@aragen.com</t>
  </si>
  <si>
    <t>Nitin</t>
  </si>
  <si>
    <t>CEO / Founder</t>
  </si>
  <si>
    <t>nitin@chemimpex.com</t>
  </si>
  <si>
    <t>Noah</t>
  </si>
  <si>
    <t>Daniecki</t>
  </si>
  <si>
    <t>University of Delaware</t>
  </si>
  <si>
    <t>2503 Waters Edge Drive</t>
  </si>
  <si>
    <t>ndanieck@udel.edu</t>
  </si>
  <si>
    <t>Duffy</t>
  </si>
  <si>
    <t>Business Development Manager</t>
  </si>
  <si>
    <t>noah.duffy@bachem.com</t>
  </si>
  <si>
    <t>+1 310 784 7337</t>
  </si>
  <si>
    <t>Noelle</t>
  </si>
  <si>
    <t>Waltenburg</t>
  </si>
  <si>
    <t>University of Nerbaska-Lincoln</t>
  </si>
  <si>
    <t>1540 Garret Lane</t>
  </si>
  <si>
    <t>Apt. 213</t>
  </si>
  <si>
    <t>nwaltenburg2@huskers.unl.edu</t>
  </si>
  <si>
    <t>Noora</t>
  </si>
  <si>
    <t>Azadvari</t>
  </si>
  <si>
    <t>Phil and Penny Knight Campus, University of Oregon</t>
  </si>
  <si>
    <t>6231 University of Oregon</t>
  </si>
  <si>
    <t>Eugene</t>
  </si>
  <si>
    <t>eazadvar@uoregon.edu</t>
  </si>
  <si>
    <t>Norman</t>
  </si>
  <si>
    <t>Metanis</t>
  </si>
  <si>
    <t>The Hebrew University of Jerusalem</t>
  </si>
  <si>
    <t>Institute of Chemistry</t>
  </si>
  <si>
    <t>metanis@mail.huji.ac.il</t>
  </si>
  <si>
    <t>Oliver</t>
  </si>
  <si>
    <t>Swart</t>
  </si>
  <si>
    <t>339 Palmetto st</t>
  </si>
  <si>
    <t>Apt3</t>
  </si>
  <si>
    <t>os2257@nyu.edu</t>
  </si>
  <si>
    <t>Olivia</t>
  </si>
  <si>
    <t>Csencsits</t>
  </si>
  <si>
    <t>Sales Manager Custom Synthesis</t>
  </si>
  <si>
    <t>olivia.csencsits@bachem.com</t>
  </si>
  <si>
    <t>+1 424 634 8747</t>
  </si>
  <si>
    <t>Oluwasijibomi Damola</t>
  </si>
  <si>
    <t>Faleti</t>
  </si>
  <si>
    <t>Post doctoral Fellow</t>
  </si>
  <si>
    <t>Centre For Eye and Vision Research Limited</t>
  </si>
  <si>
    <t>368 Shanghai Street, Yau Ma Tei</t>
  </si>
  <si>
    <t>Kowloon</t>
  </si>
  <si>
    <t>damola737@gmail.com</t>
  </si>
  <si>
    <t>Omar</t>
  </si>
  <si>
    <t>Qazi</t>
  </si>
  <si>
    <t>omar.qazi@bioduro.com</t>
  </si>
  <si>
    <t>619 414 7408</t>
  </si>
  <si>
    <t>Oriol</t>
  </si>
  <si>
    <t>Esquivias</t>
  </si>
  <si>
    <t>BCN Peptides</t>
  </si>
  <si>
    <t>Pol. Ind. Els Vinyets Els Fogars II</t>
  </si>
  <si>
    <t>Sant Quintí de Mediona</t>
  </si>
  <si>
    <t>oesquivias@bcnpeptides.com</t>
  </si>
  <si>
    <t>Oscar</t>
  </si>
  <si>
    <t>Shepperson</t>
  </si>
  <si>
    <t>2-1, 22 Clouston Street</t>
  </si>
  <si>
    <t>G20 8QU</t>
  </si>
  <si>
    <t>Oscar.Shepperson@glasgow.ac.uk</t>
  </si>
  <si>
    <t>Özge</t>
  </si>
  <si>
    <t>Ünsal</t>
  </si>
  <si>
    <t>260 San Jose Ave Apt 201</t>
  </si>
  <si>
    <t>unsalo@gene.com</t>
  </si>
  <si>
    <t>Pankaj</t>
  </si>
  <si>
    <t>Jain</t>
  </si>
  <si>
    <t>18 Harris St</t>
  </si>
  <si>
    <t>Belmont</t>
  </si>
  <si>
    <t>pankaj1.jain@novartis.com</t>
  </si>
  <si>
    <t>408-391-6729</t>
  </si>
  <si>
    <t>Paolo</t>
  </si>
  <si>
    <t>Grieco</t>
  </si>
  <si>
    <t>Via D. Montesano 49</t>
  </si>
  <si>
    <t>paolo.grieco@unina.it</t>
  </si>
  <si>
    <t>Rovero</t>
  </si>
  <si>
    <t>PeptLab - University of Florence</t>
  </si>
  <si>
    <t>Department of NeuroFarBa</t>
  </si>
  <si>
    <t>Sesto Fiorentino, Firenze</t>
  </si>
  <si>
    <t>paolo.rovero@unifi.it</t>
  </si>
  <si>
    <t>+39 338n 5227804</t>
  </si>
  <si>
    <t>Paramjit</t>
  </si>
  <si>
    <t>Arora</t>
  </si>
  <si>
    <t>100 Washington Sq East</t>
  </si>
  <si>
    <t>arora@nyu.edu</t>
  </si>
  <si>
    <t>(212) 998-8470</t>
  </si>
  <si>
    <t>Parisa</t>
  </si>
  <si>
    <t>Hosseinzadeh</t>
  </si>
  <si>
    <t>1505 Franklin Boulevard</t>
  </si>
  <si>
    <t>M343</t>
  </si>
  <si>
    <t>parisah@uoregon.edu</t>
  </si>
  <si>
    <t>Patrick</t>
  </si>
  <si>
    <t>Gonschorek</t>
  </si>
  <si>
    <t>Max Planck Institute for Terrestrial Microbiology</t>
  </si>
  <si>
    <t>Karl-von-Frisch-Str. 10</t>
  </si>
  <si>
    <t>Marburg</t>
  </si>
  <si>
    <t>patrick.gonschorek@mpi-marburg.mpg.de</t>
  </si>
  <si>
    <t>Knerr</t>
  </si>
  <si>
    <t>Vice President, Metabolic Translational Research</t>
  </si>
  <si>
    <t>Indiana Biosciences Research Institute</t>
  </si>
  <si>
    <t>1210 Waterway Blvd</t>
  </si>
  <si>
    <t>Ste 2000</t>
  </si>
  <si>
    <t>pknerr@indianabiosciences.org</t>
  </si>
  <si>
    <t>Paul</t>
  </si>
  <si>
    <t>Levine</t>
  </si>
  <si>
    <t>2625 Durant Ave</t>
  </si>
  <si>
    <t>paul@insamo.com</t>
  </si>
  <si>
    <t>Pei Hsuan</t>
  </si>
  <si>
    <t>University of kansas</t>
  </si>
  <si>
    <t>1018 w 24th st, Apt 8</t>
  </si>
  <si>
    <t>lawrence</t>
  </si>
  <si>
    <t>KS</t>
  </si>
  <si>
    <t>p221c761@gmail.com</t>
  </si>
  <si>
    <t>Pengfei</t>
  </si>
  <si>
    <t>Shi</t>
  </si>
  <si>
    <t>post-doc</t>
  </si>
  <si>
    <t>Room 310, 3/F, Chong Yuet Ming chemistry Building, Pokfulam Road, Central and Western District, HK</t>
  </si>
  <si>
    <t>shipf@hku.hk</t>
  </si>
  <si>
    <t>Pete</t>
  </si>
  <si>
    <t>Executive Director, Business Development</t>
  </si>
  <si>
    <t>petenguyen@asymchem.com</t>
  </si>
  <si>
    <t>(714) 856-3668</t>
  </si>
  <si>
    <t>Peter</t>
  </si>
  <si>
    <t>Glunz</t>
  </si>
  <si>
    <t>Associate Director</t>
  </si>
  <si>
    <t>Bristol Myers Squibb</t>
  </si>
  <si>
    <t>3551 Lawrenceville Road</t>
  </si>
  <si>
    <t>peter.glunz@bms.com</t>
  </si>
  <si>
    <t>609-252-4361</t>
  </si>
  <si>
    <t>Hutchings</t>
  </si>
  <si>
    <t>Vice President, Sales</t>
  </si>
  <si>
    <t>30771 Via La Cresta</t>
  </si>
  <si>
    <t>phutchings@aralezbio.com</t>
  </si>
  <si>
    <t>310 308 3504</t>
  </si>
  <si>
    <t>Timmerman</t>
  </si>
  <si>
    <t>Head of Peptide Science</t>
  </si>
  <si>
    <t>Zuidersluisweg 2</t>
  </si>
  <si>
    <t>Lelystad</t>
  </si>
  <si>
    <t>8243 RC</t>
  </si>
  <si>
    <t>Peter.Timmerman@biosynth.com</t>
  </si>
  <si>
    <t>+31 6 51 84 18 78</t>
  </si>
  <si>
    <t>Phil</t>
  </si>
  <si>
    <t>Dawson</t>
  </si>
  <si>
    <t>dawson@scripps.edu</t>
  </si>
  <si>
    <t>858-784-7015</t>
  </si>
  <si>
    <t>Philippe</t>
  </si>
  <si>
    <t>Karoyan</t>
  </si>
  <si>
    <t>Scientific co-founder</t>
  </si>
  <si>
    <t>Pepkon</t>
  </si>
  <si>
    <t>19 chemin de Prunay</t>
  </si>
  <si>
    <t>Louveciennes</t>
  </si>
  <si>
    <t>philippe.karoyan@pepkon.fr</t>
  </si>
  <si>
    <t>Poanna</t>
  </si>
  <si>
    <t>Gubra A/S</t>
  </si>
  <si>
    <t>Hørsholm Kongevej 11 B</t>
  </si>
  <si>
    <t>ptr@gubra.dk</t>
  </si>
  <si>
    <t>+45 52720189</t>
  </si>
  <si>
    <t>Pragati</t>
  </si>
  <si>
    <t>Ganatra</t>
  </si>
  <si>
    <t>918 S Carpenter St</t>
  </si>
  <si>
    <t>Apt-1R</t>
  </si>
  <si>
    <t>pganat3@uic.edu</t>
  </si>
  <si>
    <t>Priscila</t>
  </si>
  <si>
    <t>SEVEUR</t>
  </si>
  <si>
    <t>M.Sc. (Doctoral candidate)</t>
  </si>
  <si>
    <t>Technische Universität München- Campus Straubing- Professur für Elektrobiotechnologie</t>
  </si>
  <si>
    <t>Uferstrasse 53</t>
  </si>
  <si>
    <t>Straubing</t>
  </si>
  <si>
    <t>priscila.seveur@tum.de</t>
  </si>
  <si>
    <t>Priyanka</t>
  </si>
  <si>
    <t>Pandya</t>
  </si>
  <si>
    <t>Senio principal scientist</t>
  </si>
  <si>
    <t>ELI LILLY</t>
  </si>
  <si>
    <t>10290 CAMPUS POINT D</t>
  </si>
  <si>
    <t>pandya_priyanka@lilly.com</t>
  </si>
  <si>
    <t>Qi</t>
  </si>
  <si>
    <t>Guan</t>
  </si>
  <si>
    <t>Business Development Associate Director</t>
  </si>
  <si>
    <t>WuXi AppTec</t>
  </si>
  <si>
    <t>2520 Pilot Knob</t>
  </si>
  <si>
    <t>St Paul</t>
  </si>
  <si>
    <t>qi.guan@wuxiapptec.com</t>
  </si>
  <si>
    <t>Rachita</t>
  </si>
  <si>
    <t>Dash</t>
  </si>
  <si>
    <t>University of Virginia, Charlottesville</t>
  </si>
  <si>
    <t>410 Seymour Road</t>
  </si>
  <si>
    <t>Apt 4</t>
  </si>
  <si>
    <t>afm7xd@virginia.edu</t>
  </si>
  <si>
    <t>Radleigh</t>
  </si>
  <si>
    <t>Santos</t>
  </si>
  <si>
    <t>Associate Professor of Statistics</t>
  </si>
  <si>
    <t>Nova Southeastern University</t>
  </si>
  <si>
    <t>3301 College Avenue</t>
  </si>
  <si>
    <t>Fort Lauderdale</t>
  </si>
  <si>
    <t>radleigh@nova.edu</t>
  </si>
  <si>
    <t>Rafael</t>
  </si>
  <si>
    <t>Uriarte</t>
  </si>
  <si>
    <t>rafyuriarte11@csu.fullerton.edu</t>
  </si>
  <si>
    <t>Rahel</t>
  </si>
  <si>
    <t>Heeb</t>
  </si>
  <si>
    <t>Msc.</t>
  </si>
  <si>
    <t>heebr@ethz.ch</t>
  </si>
  <si>
    <t>+41 44 632 64 12</t>
  </si>
  <si>
    <t>Talukdar</t>
  </si>
  <si>
    <t>249 Boston Avenue</t>
  </si>
  <si>
    <t>Prithviraj.Talukdar@tufts.edu</t>
  </si>
  <si>
    <t>Ralph</t>
  </si>
  <si>
    <t>Schoenleber</t>
  </si>
  <si>
    <t>VP R&amp;D</t>
  </si>
  <si>
    <t>Bachem AG</t>
  </si>
  <si>
    <t>Hauptstrasse 144</t>
  </si>
  <si>
    <t>Bubendorf</t>
  </si>
  <si>
    <t>ralph.schoenleber@bachem.com</t>
  </si>
  <si>
    <t>Rameez</t>
  </si>
  <si>
    <t>Ali</t>
  </si>
  <si>
    <t>Lead Peptide Chemist</t>
  </si>
  <si>
    <t>Orovos Health Corp.</t>
  </si>
  <si>
    <t>9930 Scripps Vista Way</t>
  </si>
  <si>
    <t>#151</t>
  </si>
  <si>
    <t>Rameez@somapeptides.com</t>
  </si>
  <si>
    <t>1 (775) 980-7080</t>
  </si>
  <si>
    <t>Ramesh</t>
  </si>
  <si>
    <t>Chingle</t>
  </si>
  <si>
    <t>Postdoctoral Scholar</t>
  </si>
  <si>
    <t>National Institutes of Health</t>
  </si>
  <si>
    <t>National Cancer Institute, 1050 Boyles Street, Building 376, Room 217</t>
  </si>
  <si>
    <t>rameshchingle26@gmail.com</t>
  </si>
  <si>
    <t>Ramya</t>
  </si>
  <si>
    <t>Modi</t>
  </si>
  <si>
    <t>39370 Civic center drive, Apt 321</t>
  </si>
  <si>
    <t>ramya@insamo.com</t>
  </si>
  <si>
    <t>Raphael</t>
  </si>
  <si>
    <t>Peking University</t>
  </si>
  <si>
    <t>Hyeonmu 2-Gil</t>
  </si>
  <si>
    <t>Jeonju</t>
  </si>
  <si>
    <t>raphael@reframe.xyz</t>
  </si>
  <si>
    <t>Reito</t>
  </si>
  <si>
    <t>Bunno</t>
  </si>
  <si>
    <t>Pharmaceutical research scientist</t>
  </si>
  <si>
    <t>CHUGAI PHARMACEUTICAL CO., LTD.</t>
  </si>
  <si>
    <t>216 Totsukacho, Totsuka-ku</t>
  </si>
  <si>
    <t>Yokohama City, Kanagawa Pref.</t>
  </si>
  <si>
    <t>bunno.reito44@chugai-pharm.co.jp</t>
  </si>
  <si>
    <t>Richard</t>
  </si>
  <si>
    <t>Bayliss</t>
  </si>
  <si>
    <t>University of Leeds</t>
  </si>
  <si>
    <t>Woodhouse Lane</t>
  </si>
  <si>
    <t>Leeds</t>
  </si>
  <si>
    <t>LS2 9JT</t>
  </si>
  <si>
    <t>r.w.bayliss@leeds.ac.uk</t>
  </si>
  <si>
    <t>+44 1133439919</t>
  </si>
  <si>
    <t>Di Marchi</t>
  </si>
  <si>
    <t>Indiana University</t>
  </si>
  <si>
    <t>A508 Chemistry Department</t>
  </si>
  <si>
    <t>Bloomington</t>
  </si>
  <si>
    <t>rdimarch@indiana.edu</t>
  </si>
  <si>
    <t>(812) 856-1840</t>
  </si>
  <si>
    <t>Rick</t>
  </si>
  <si>
    <t>Karr</t>
  </si>
  <si>
    <t>Founder</t>
  </si>
  <si>
    <t>rick@BioRegs.com</t>
  </si>
  <si>
    <t>Rida</t>
  </si>
  <si>
    <t>Ibrahim</t>
  </si>
  <si>
    <t>ames</t>
  </si>
  <si>
    <t>rida@iastate.edu</t>
  </si>
  <si>
    <t>Robert</t>
  </si>
  <si>
    <t>Garbaccio</t>
  </si>
  <si>
    <t>109 King Road</t>
  </si>
  <si>
    <t>Chalfont</t>
  </si>
  <si>
    <t>robert_garbaccio@merck.com</t>
  </si>
  <si>
    <t>Hammer</t>
  </si>
  <si>
    <t>20 Acorn Park Drive</t>
  </si>
  <si>
    <t>Suite 200</t>
  </si>
  <si>
    <t>rphammer@gmail.com</t>
  </si>
  <si>
    <t>Newberry</t>
  </si>
  <si>
    <t>The University of Texas at Austin</t>
  </si>
  <si>
    <t>105 East 24th St.</t>
  </si>
  <si>
    <t>rnewberry@utexas.edu</t>
  </si>
  <si>
    <t>Tancer</t>
  </si>
  <si>
    <t>Rutgers University</t>
  </si>
  <si>
    <t>225 Warren Street</t>
  </si>
  <si>
    <t>ICPH Blding, W210A</t>
  </si>
  <si>
    <t>robtancer@gmail.com</t>
  </si>
  <si>
    <t>Roberto Eduardo</t>
  </si>
  <si>
    <t>Rojas Galleguillos</t>
  </si>
  <si>
    <t>Universidad de las Americas // UDLA Chile</t>
  </si>
  <si>
    <t>7 Norte 1348</t>
  </si>
  <si>
    <t>placilla</t>
  </si>
  <si>
    <t>Viña del Mar</t>
  </si>
  <si>
    <t>r.rojas@outlook.cl</t>
  </si>
  <si>
    <t>Robin</t>
  </si>
  <si>
    <t>Polt</t>
  </si>
  <si>
    <t>The University of Arizona</t>
  </si>
  <si>
    <t>1306 E. University Blvd.</t>
  </si>
  <si>
    <t>polt@u.arizona.edu</t>
  </si>
  <si>
    <t>Rochelle</t>
  </si>
  <si>
    <t>DR</t>
  </si>
  <si>
    <t>203 Pitt Street</t>
  </si>
  <si>
    <t>G2 4DT</t>
  </si>
  <si>
    <t>Rochelle.McGrory@glasgow.ac.uk</t>
  </si>
  <si>
    <t>Roman</t>
  </si>
  <si>
    <t>Schowner</t>
  </si>
  <si>
    <t>Rapp Polymere GmbH</t>
  </si>
  <si>
    <t>Ernst-Simon-Straße</t>
  </si>
  <si>
    <t>Tübingen</t>
  </si>
  <si>
    <t>rapp-polymere@outlook.de</t>
  </si>
  <si>
    <t>Ron</t>
  </si>
  <si>
    <t>He</t>
  </si>
  <si>
    <t>3755 Torrey View Ct</t>
  </si>
  <si>
    <t>ron.he.phd@gmail.com</t>
  </si>
  <si>
    <t>Ronald</t>
  </si>
  <si>
    <t>Aleman Lemus</t>
  </si>
  <si>
    <t>raleman0005@csu.fullerton.edu</t>
  </si>
  <si>
    <t>Ross</t>
  </si>
  <si>
    <t>Cheloha</t>
  </si>
  <si>
    <t>Investigator</t>
  </si>
  <si>
    <t>NIH</t>
  </si>
  <si>
    <t>8 Center Drive</t>
  </si>
  <si>
    <t>Bethesda</t>
  </si>
  <si>
    <t>ross.cheloha@nih.gov</t>
  </si>
  <si>
    <t>301-827-4424</t>
  </si>
  <si>
    <t>Ruiqi</t>
  </si>
  <si>
    <t>Huang</t>
  </si>
  <si>
    <t>M.S.</t>
  </si>
  <si>
    <t>University of California</t>
  </si>
  <si>
    <t>8004 La Riviera Dr</t>
  </si>
  <si>
    <t>Apt 25</t>
  </si>
  <si>
    <t>rqhuang@ucdavis.edu</t>
  </si>
  <si>
    <t>Rumit</t>
  </si>
  <si>
    <t>Maini</t>
  </si>
  <si>
    <t>Sr. Director &amp; Peptide Discovery Team Lead</t>
  </si>
  <si>
    <t>10290 Campus Point Dr</t>
  </si>
  <si>
    <t>maini.rumit@gmail.com</t>
  </si>
  <si>
    <t>Rupali</t>
  </si>
  <si>
    <t>Singh</t>
  </si>
  <si>
    <t>500E, 63rd street, Apt 12E</t>
  </si>
  <si>
    <t>rupalis438919@gmail.com</t>
  </si>
  <si>
    <t>Ryan</t>
  </si>
  <si>
    <t>Iwahiro-Miller</t>
  </si>
  <si>
    <t>1414 University Vlg</t>
  </si>
  <si>
    <t>u1519970@gcloud.utah.edu</t>
  </si>
  <si>
    <t>Ryan Seongho</t>
  </si>
  <si>
    <t>Head of R&amp;D division</t>
  </si>
  <si>
    <t>SK pharmteco SM Asia</t>
  </si>
  <si>
    <t>SK biotek</t>
  </si>
  <si>
    <t>325 Exporo, Yuseong-gu</t>
  </si>
  <si>
    <t>seongho.ryan.oh@sk.com</t>
  </si>
  <si>
    <t>Sabine</t>
  </si>
  <si>
    <t>Rapp</t>
  </si>
  <si>
    <t>Ernst-Simon-Strasse 9</t>
  </si>
  <si>
    <t>rapp-polymere@t-online.de</t>
  </si>
  <si>
    <t>Sai Kumar</t>
  </si>
  <si>
    <t>Chakka</t>
  </si>
  <si>
    <t>sai@unnaturalproducts.com</t>
  </si>
  <si>
    <t>Saipriyaa</t>
  </si>
  <si>
    <t>Purushotham Vasan</t>
  </si>
  <si>
    <t>University of Queensland</t>
  </si>
  <si>
    <t>601, Priestdale road</t>
  </si>
  <si>
    <t>Rochedale south</t>
  </si>
  <si>
    <t>s.purushothamvasan@student.uq.edu.au</t>
  </si>
  <si>
    <t>Salim</t>
  </si>
  <si>
    <t>Joubran</t>
  </si>
  <si>
    <t>Director of Production</t>
  </si>
  <si>
    <t>s.joubran@anaspec.com</t>
  </si>
  <si>
    <t>650 713-9182</t>
  </si>
  <si>
    <t>Samantha</t>
  </si>
  <si>
    <t>Hatfield</t>
  </si>
  <si>
    <t>1797 S Oregon Ave</t>
  </si>
  <si>
    <t>sammy.hatfield@hotmail.com</t>
  </si>
  <si>
    <t>Samuel</t>
  </si>
  <si>
    <t>Scherer</t>
  </si>
  <si>
    <t>15 N Medical Drive East, Rm 4100</t>
  </si>
  <si>
    <t>sam.scherer@biochem.utah.edu</t>
  </si>
  <si>
    <t>Sandor</t>
  </si>
  <si>
    <t>Lovas</t>
  </si>
  <si>
    <t>Creighton University</t>
  </si>
  <si>
    <t>2500 California Plaza</t>
  </si>
  <si>
    <t>Omaha</t>
  </si>
  <si>
    <t>slovas@creighton.edu</t>
  </si>
  <si>
    <t>402-280-5753</t>
  </si>
  <si>
    <t>Sang Jeon</t>
  </si>
  <si>
    <t>Chung</t>
  </si>
  <si>
    <t>Sungkyunkwan University School of Pharmacy</t>
  </si>
  <si>
    <t>Seoburo 2066</t>
  </si>
  <si>
    <t>DRC Building #840303</t>
  </si>
  <si>
    <t>Suwon</t>
  </si>
  <si>
    <t>sjchung@skku.edu</t>
  </si>
  <si>
    <t>Santosh</t>
  </si>
  <si>
    <t>Kulkarni</t>
  </si>
  <si>
    <t>Vice President • Medicinal Chemistry</t>
  </si>
  <si>
    <t>Sai Life Science</t>
  </si>
  <si>
    <t>Unit 02 ICICI Knowledge Park - SAI Life Sciences Ltd.</t>
  </si>
  <si>
    <t>kulkarni.s@sailife.com</t>
  </si>
  <si>
    <t>+91 97404 41915</t>
  </si>
  <si>
    <t>Sarah</t>
  </si>
  <si>
    <t>Lively</t>
  </si>
  <si>
    <t>1536 Eaton aveue</t>
  </si>
  <si>
    <t>San Carlos</t>
  </si>
  <si>
    <t>slively@its.jnj.com</t>
  </si>
  <si>
    <t>SASIKUMAR</t>
  </si>
  <si>
    <t>POTTAYIL GOVINDAN NAIR</t>
  </si>
  <si>
    <t>CEO &amp; Co-Founder</t>
  </si>
  <si>
    <t>Galore Tx Pharmaceuticals</t>
  </si>
  <si>
    <t>5, DECCAN PALMS VILLAS, ANANTH NAGAR PHASE 2, Hoskur Gate, Electronic city PO, Bengaluru, 560100, Ka</t>
  </si>
  <si>
    <t>pgsasikumar@hotmail.com</t>
  </si>
  <si>
    <t>Scott</t>
  </si>
  <si>
    <t>Miller</t>
  </si>
  <si>
    <t>Sterling Professor of Chemistry</t>
  </si>
  <si>
    <t>Yale University</t>
  </si>
  <si>
    <t>225 Prospect Street</t>
  </si>
  <si>
    <t>New Haven</t>
  </si>
  <si>
    <t>scott.miller@yale.edu</t>
  </si>
  <si>
    <t>508-333-0668</t>
  </si>
  <si>
    <t>Sebastian</t>
  </si>
  <si>
    <t>SEBIN</t>
  </si>
  <si>
    <t>ABRAHAM</t>
  </si>
  <si>
    <t>Texas A &amp; M University</t>
  </si>
  <si>
    <t>3902 COLLEGE MAIN ST</t>
  </si>
  <si>
    <t>COUNYRY PLACE APRTMENTS</t>
  </si>
  <si>
    <t>sebin17@tamu.edu</t>
  </si>
  <si>
    <t>Seung-Hyun</t>
  </si>
  <si>
    <t>Research Scientist / Ph.D</t>
  </si>
  <si>
    <t>75 Jangsan-ro, 101 beon-gil, Janghang-eup, Seocheon-gun</t>
  </si>
  <si>
    <t>Chungcheongnam-do</t>
  </si>
  <si>
    <t>zebrajung@mabik.re.kr</t>
  </si>
  <si>
    <t>010-2812-3262</t>
  </si>
  <si>
    <t>Severin T.</t>
  </si>
  <si>
    <t>Schneebeli</t>
  </si>
  <si>
    <t>schneebeli@purdue.edu</t>
  </si>
  <si>
    <t>(646) 709-8370</t>
  </si>
  <si>
    <t>Shahrukh</t>
  </si>
  <si>
    <t>Khan</t>
  </si>
  <si>
    <t>26707 83rd Ave</t>
  </si>
  <si>
    <t>Glen Oaks</t>
  </si>
  <si>
    <t>shahrukh@nyu.edu</t>
  </si>
  <si>
    <t>Shaina</t>
  </si>
  <si>
    <t>Ly</t>
  </si>
  <si>
    <t>shaina.ly@cem.com</t>
  </si>
  <si>
    <t>Shen</t>
  </si>
  <si>
    <t>Marketing</t>
  </si>
  <si>
    <t>Suzhou Motif Biotech Co., Ltd.</t>
  </si>
  <si>
    <t>1729 12th Ave</t>
  </si>
  <si>
    <t>shen08chen@gmail.com</t>
  </si>
  <si>
    <t>Shingo</t>
  </si>
  <si>
    <t>Shinjo</t>
  </si>
  <si>
    <t>Tokyo University of Agriculture and Technology</t>
  </si>
  <si>
    <t>3-5-8 Saiwai-cho</t>
  </si>
  <si>
    <t>183-8509</t>
  </si>
  <si>
    <t>fv0940@go.tuat.ac.jp</t>
  </si>
  <si>
    <t>Shivangi</t>
  </si>
  <si>
    <t>Sharma</t>
  </si>
  <si>
    <t>401 Anderson St Scandia Apt 6P</t>
  </si>
  <si>
    <t>College Station</t>
  </si>
  <si>
    <t>sharma_shivangi@tamu.edu</t>
  </si>
  <si>
    <t>Shivani</t>
  </si>
  <si>
    <t>Sachdev</t>
  </si>
  <si>
    <t>Building 8, Room no. 401</t>
  </si>
  <si>
    <t>shivani.sachdev@nih.gov</t>
  </si>
  <si>
    <t>Sho</t>
  </si>
  <si>
    <t>Konno</t>
  </si>
  <si>
    <t>Tokyo University of Pharmacy and Life Sciences</t>
  </si>
  <si>
    <t>1432-1 Horinouchi</t>
  </si>
  <si>
    <t>Hachioji</t>
  </si>
  <si>
    <t>skonno@toyaku.ac.jp</t>
  </si>
  <si>
    <t>Shohei</t>
  </si>
  <si>
    <t>Mori</t>
  </si>
  <si>
    <t>Ono pharmaceutical co. ltd</t>
  </si>
  <si>
    <t>1-1, Sakurai 3-chome, Shimamoto-cho, Mishima-gun</t>
  </si>
  <si>
    <t>Osaka</t>
  </si>
  <si>
    <t>sho.mori@ono-pharma.com</t>
  </si>
  <si>
    <t>Shuhei</t>
  </si>
  <si>
    <t>Graduate School of Frontiers of Innovative Research in Science and Technology (FIRST)/ Konan university</t>
  </si>
  <si>
    <t>d2361003@s.konan-u.ac.jp</t>
  </si>
  <si>
    <t>Siavash</t>
  </si>
  <si>
    <t>Shahbazi Nia</t>
  </si>
  <si>
    <t>575 Stadium Mall Dr</t>
  </si>
  <si>
    <t>sshahbaz@purdue.edu</t>
  </si>
  <si>
    <t>Sikabwe</t>
  </si>
  <si>
    <t>Noki</t>
  </si>
  <si>
    <t>School of Chemistry &amp; Physics</t>
  </si>
  <si>
    <t>sikabwenoki7@gmail.com</t>
  </si>
  <si>
    <t>Silvia</t>
  </si>
  <si>
    <t>Bracci</t>
  </si>
  <si>
    <t>Interdepartmental Laboratory of Peptide and Protein Chemistry and Biology, Chemistry Department "Ugo Schiff", University of Florence</t>
  </si>
  <si>
    <t>Via Della Lastruccia 13</t>
  </si>
  <si>
    <t>Sesto Fiorentino (FI)</t>
  </si>
  <si>
    <t>silvia.bracci@unifi.it</t>
  </si>
  <si>
    <t>Simon</t>
  </si>
  <si>
    <t>Leukel</t>
  </si>
  <si>
    <t>Friedrich-Alexander-University Erlangen-Nuremberg</t>
  </si>
  <si>
    <t>simon.leukel@fau.de</t>
  </si>
  <si>
    <t>+49-(0)9131-85-65458</t>
  </si>
  <si>
    <t>Sivaneswary</t>
  </si>
  <si>
    <t>Genapathy</t>
  </si>
  <si>
    <t>Blocks A &amp; B Portway Building</t>
  </si>
  <si>
    <t>Granta Park, Great Abington</t>
  </si>
  <si>
    <t>siva.genapathy@bicycletx.com</t>
  </si>
  <si>
    <t>Skander</t>
  </si>
  <si>
    <t>Abboud</t>
  </si>
  <si>
    <t>1376 Trisail Terrace</t>
  </si>
  <si>
    <t>Wilmington</t>
  </si>
  <si>
    <t>abbouds@uncw.edu</t>
  </si>
  <si>
    <t>Sneha</t>
  </si>
  <si>
    <t>Dasgupta</t>
  </si>
  <si>
    <t>400 N River Road</t>
  </si>
  <si>
    <t>Apartment 1421</t>
  </si>
  <si>
    <t>dasgup14@purdue.edu</t>
  </si>
  <si>
    <t>Sonela</t>
  </si>
  <si>
    <t>Cavicke</t>
  </si>
  <si>
    <t>VP of Business Development</t>
  </si>
  <si>
    <t>sonela.c@sailife.com</t>
  </si>
  <si>
    <t>(858)525-2800</t>
  </si>
  <si>
    <t>Songyi</t>
  </si>
  <si>
    <t>Xue</t>
  </si>
  <si>
    <t>HHMI &amp; University of Illinois at Urbana-Champaign</t>
  </si>
  <si>
    <t>1025 Baytowne Dr</t>
  </si>
  <si>
    <t>Apt 32</t>
  </si>
  <si>
    <t>Champaign</t>
  </si>
  <si>
    <t>songyi@illinois.edu</t>
  </si>
  <si>
    <t>Sorina</t>
  </si>
  <si>
    <t>Chiorean</t>
  </si>
  <si>
    <t>Senior Manager, Business Development</t>
  </si>
  <si>
    <t>sorina.chiorean@wuxiapptec.com</t>
  </si>
  <si>
    <t>Sota</t>
  </si>
  <si>
    <t>Adachi</t>
  </si>
  <si>
    <t>3-5-8 Saiwai-cho, Fuchu</t>
  </si>
  <si>
    <t>s219027r@st.go.tuat.ac.jp</t>
  </si>
  <si>
    <t>Soumitra</t>
  </si>
  <si>
    <t>Doon Associates LLC</t>
  </si>
  <si>
    <t>12334 Pathos Lane</t>
  </si>
  <si>
    <t>soumitra.s.ghosh@gmail.com</t>
  </si>
  <si>
    <t>Stefan</t>
  </si>
  <si>
    <t>Eissler</t>
  </si>
  <si>
    <t>Vice President Peptide Manufacturing</t>
  </si>
  <si>
    <t>Weidweg 58</t>
  </si>
  <si>
    <t>Häfelfingen</t>
  </si>
  <si>
    <t>s-eiszler@gmx.ch</t>
  </si>
  <si>
    <t>0041 787 505 124</t>
  </si>
  <si>
    <t>Stefania</t>
  </si>
  <si>
    <t>Colarusso</t>
  </si>
  <si>
    <t>IRBM Spa</t>
  </si>
  <si>
    <t>Via Pontina km 30.600</t>
  </si>
  <si>
    <t>s.colarusso@irbm.com</t>
  </si>
  <si>
    <t>Stepan</t>
  </si>
  <si>
    <t>Denisov</t>
  </si>
  <si>
    <t>Währinger Straße 38</t>
  </si>
  <si>
    <t>stepan.denisov@univie.ac.at</t>
  </si>
  <si>
    <t>Stephan</t>
  </si>
  <si>
    <t>Uebel</t>
  </si>
  <si>
    <t>Max-Planck Institute of Biochemistry</t>
  </si>
  <si>
    <t>Am Klopferspitz 18</t>
  </si>
  <si>
    <t>Martinsried</t>
  </si>
  <si>
    <t>uebel@biochem.mpg.de</t>
  </si>
  <si>
    <t>Stephanie</t>
  </si>
  <si>
    <t>Barros</t>
  </si>
  <si>
    <t>Scientific Manager</t>
  </si>
  <si>
    <t>sbarros2@its.jnj.com</t>
  </si>
  <si>
    <t>Stephanie Anita</t>
  </si>
  <si>
    <t>Vogt</t>
  </si>
  <si>
    <t>stephanie.vogt@unibas.ch</t>
  </si>
  <si>
    <t>Stephen</t>
  </si>
  <si>
    <t>Kent</t>
  </si>
  <si>
    <t>Really, title is required!!! Why?</t>
  </si>
  <si>
    <t>University of Chicago</t>
  </si>
  <si>
    <t>273 Hartford Street</t>
  </si>
  <si>
    <t>skent@uchicago.edu</t>
  </si>
  <si>
    <t>Genentech, Inc.</t>
  </si>
  <si>
    <t>miller.stephen@gene.com</t>
  </si>
  <si>
    <t>Steven</t>
  </si>
  <si>
    <t>Draper</t>
  </si>
  <si>
    <t>Principal Research Technologist</t>
  </si>
  <si>
    <t>Mayo Clinic</t>
  </si>
  <si>
    <t>200 1st St SW</t>
  </si>
  <si>
    <t>Rochester</t>
  </si>
  <si>
    <t>draper.steven@mayo.edu</t>
  </si>
  <si>
    <t>Subhrodeep</t>
  </si>
  <si>
    <t>Saha</t>
  </si>
  <si>
    <t>IISc</t>
  </si>
  <si>
    <t>Room - 652, NBH</t>
  </si>
  <si>
    <t>Indian Institute of Science, C.V. Raman Avenue</t>
  </si>
  <si>
    <t>subhrodeeps@iisc.ac.in</t>
  </si>
  <si>
    <t>Subir</t>
  </si>
  <si>
    <t>4, GopalBag, Chandannagar, Hooghly</t>
  </si>
  <si>
    <t>Room 638, New Boys Hostel, Indian Institute of Science, Bengaluru - 560012</t>
  </si>
  <si>
    <t>Chandannagar</t>
  </si>
  <si>
    <t>subirc@iisc.ac.in</t>
  </si>
  <si>
    <t>Sukhi</t>
  </si>
  <si>
    <t>Bansal</t>
  </si>
  <si>
    <t>King's College London</t>
  </si>
  <si>
    <t>Institute of Pharmaceutical Science</t>
  </si>
  <si>
    <t>Franklin-Wilkins Building</t>
  </si>
  <si>
    <t>SE19NH</t>
  </si>
  <si>
    <t>sukhi.bansal@kcl.ac.uk</t>
  </si>
  <si>
    <t>Sumeet Kumar</t>
  </si>
  <si>
    <t>6033 Edgewood Bend Court</t>
  </si>
  <si>
    <t>ssingh@neurocrine.com</t>
  </si>
  <si>
    <t>Susan</t>
  </si>
  <si>
    <t>Senior Research Associate</t>
  </si>
  <si>
    <t>susan@insamo.com</t>
  </si>
  <si>
    <t>Zultanski</t>
  </si>
  <si>
    <t>Principal Scientist, Discovery Process Chemistry</t>
  </si>
  <si>
    <t>295 23rd St, Apt 2</t>
  </si>
  <si>
    <t>SUSAN_ZULTANSKI@MERCK.COM</t>
  </si>
  <si>
    <t>617-800-4590</t>
  </si>
  <si>
    <t>Sven</t>
  </si>
  <si>
    <t>Ullrich</t>
  </si>
  <si>
    <t>University of Tokyo</t>
  </si>
  <si>
    <t>Yushima 4-12-6-202</t>
  </si>
  <si>
    <t>113-0034</t>
  </si>
  <si>
    <t>sullrich@g.ecc.u-tokyo.ac.jp</t>
  </si>
  <si>
    <t>SWAMINATHAN</t>
  </si>
  <si>
    <t>NATARAJAN</t>
  </si>
  <si>
    <t>director</t>
  </si>
  <si>
    <t>socrates biosciences inc</t>
  </si>
  <si>
    <t>760 CALLE PLANO</t>
  </si>
  <si>
    <t>camarillo</t>
  </si>
  <si>
    <t>RAVI.NATARAJAN@SOCRATESBIO.COM</t>
  </si>
  <si>
    <t>Sydney</t>
  </si>
  <si>
    <t>Mager</t>
  </si>
  <si>
    <t>32 Cosby Avenue</t>
  </si>
  <si>
    <t>Amherst</t>
  </si>
  <si>
    <t>smager@umass.edu</t>
  </si>
  <si>
    <t>Syrah</t>
  </si>
  <si>
    <t>Starnes</t>
  </si>
  <si>
    <t>sstarnes@nd.edu</t>
  </si>
  <si>
    <t>Syuan-Ting</t>
  </si>
  <si>
    <t>Kuo</t>
  </si>
  <si>
    <t>Ph.D. Candidate</t>
  </si>
  <si>
    <t>Texas A&amp;M</t>
  </si>
  <si>
    <t>2250 Dartmouth Street</t>
  </si>
  <si>
    <t>alexkuo0918@tamu.edu</t>
  </si>
  <si>
    <t>979-721-2526</t>
  </si>
  <si>
    <t>Taeju</t>
  </si>
  <si>
    <t>Assistant Professor and Research Faculty</t>
  </si>
  <si>
    <t>Children's Mercy Kansas City</t>
  </si>
  <si>
    <t>2401 Gillham Road</t>
  </si>
  <si>
    <t>Kansas City</t>
  </si>
  <si>
    <t>tjpark@cmh.edu</t>
  </si>
  <si>
    <t>Takashi</t>
  </si>
  <si>
    <t>Miura</t>
  </si>
  <si>
    <t>Researcher</t>
  </si>
  <si>
    <t>Ono Pharma</t>
  </si>
  <si>
    <t>618-8585</t>
  </si>
  <si>
    <t>t.miura@ono-pharma.com</t>
  </si>
  <si>
    <t>Tangular</t>
  </si>
  <si>
    <t>Barnes</t>
  </si>
  <si>
    <t>Lead FNP</t>
  </si>
  <si>
    <t>Md-50</t>
  </si>
  <si>
    <t>450 s orange ave</t>
  </si>
  <si>
    <t>Orlando</t>
  </si>
  <si>
    <t>barnestangular@yahoo.com</t>
  </si>
  <si>
    <t>Tania</t>
  </si>
  <si>
    <t>Lopez Silva</t>
  </si>
  <si>
    <t>NCI</t>
  </si>
  <si>
    <t>70 Upper</t>
  </si>
  <si>
    <t>Rockville</t>
  </si>
  <si>
    <t>tl.lopez.silva@gmail.com</t>
  </si>
  <si>
    <t>Tayla</t>
  </si>
  <si>
    <t>Van Oers</t>
  </si>
  <si>
    <t>7901 78 Ave NW</t>
  </si>
  <si>
    <t>T6C 0N1</t>
  </si>
  <si>
    <t>tayla@ualberta.ca</t>
  </si>
  <si>
    <t>Dill</t>
  </si>
  <si>
    <t>University of Georgia College of Pharmacy</t>
  </si>
  <si>
    <t>104 College Station Road Apt E103</t>
  </si>
  <si>
    <t>tcd60055@uga.edu</t>
  </si>
  <si>
    <t>Littlefield</t>
  </si>
  <si>
    <t>Service and Support Engineer</t>
  </si>
  <si>
    <t>Nano Separation Products LLC</t>
  </si>
  <si>
    <t>103 Sandy Drive Ste 101</t>
  </si>
  <si>
    <t>taylor.littlefield@nspgroups.com</t>
  </si>
  <si>
    <t>302-245-4022</t>
  </si>
  <si>
    <t>Terry</t>
  </si>
  <si>
    <t>University of Georgia</t>
  </si>
  <si>
    <t>145 North Ave</t>
  </si>
  <si>
    <t>Apt 201</t>
  </si>
  <si>
    <t>ttn33830@uga.edu</t>
  </si>
  <si>
    <t>Thu</t>
  </si>
  <si>
    <t>120 Schindler Ct, Apt 168</t>
  </si>
  <si>
    <t>East Rutherford</t>
  </si>
  <si>
    <t>ttn298@nyu.edu</t>
  </si>
  <si>
    <t>Tiancheng</t>
  </si>
  <si>
    <t>The University of Georgia</t>
  </si>
  <si>
    <t>120 Mark Twain Cir</t>
  </si>
  <si>
    <t>Apt L1</t>
  </si>
  <si>
    <t>30605-6613</t>
  </si>
  <si>
    <t>TianchengChen@uga.edu</t>
  </si>
  <si>
    <t>Timothy</t>
  </si>
  <si>
    <t>Craven</t>
  </si>
  <si>
    <t>tim@insamo.com</t>
  </si>
  <si>
    <t>OMara</t>
  </si>
  <si>
    <t>Itochu Chemicals America, Inc.</t>
  </si>
  <si>
    <t>19201 W Pinecrest Ln New Berlin, WI 53146</t>
  </si>
  <si>
    <t>New Berlin</t>
  </si>
  <si>
    <t>timothy.omara@itochu-ca.com</t>
  </si>
  <si>
    <t>Reichart</t>
  </si>
  <si>
    <t>Hampden-Sydney</t>
  </si>
  <si>
    <t>PO Box 44</t>
  </si>
  <si>
    <t>treichart@hsc.edu</t>
  </si>
  <si>
    <t>Tingting</t>
  </si>
  <si>
    <t>Mo</t>
  </si>
  <si>
    <t>600 Airport Blvd Ste 1000</t>
  </si>
  <si>
    <t>tingtingmo@asymchem.com</t>
  </si>
  <si>
    <t>858-888-2936</t>
  </si>
  <si>
    <t>Toby</t>
  </si>
  <si>
    <t>Passioura</t>
  </si>
  <si>
    <t>12-16 Chippen Street</t>
  </si>
  <si>
    <t>toby@insamo.com</t>
  </si>
  <si>
    <t>+61 424599417</t>
  </si>
  <si>
    <t>Todd</t>
  </si>
  <si>
    <t>Krasinsky</t>
  </si>
  <si>
    <t>1Elevan Bio</t>
  </si>
  <si>
    <t>12001 Exit 5 Parkway</t>
  </si>
  <si>
    <t>Fishers</t>
  </si>
  <si>
    <t>Todd.krasinsky@1elevan.com</t>
  </si>
  <si>
    <t>Tom</t>
  </si>
  <si>
    <t>Muir</t>
  </si>
  <si>
    <t>Van Zandt Williams, Jr., Class of 1965 Professor of Chemistry</t>
  </si>
  <si>
    <t>325 Frick Chemistry Laboratory</t>
  </si>
  <si>
    <t>muir@princeton.edu</t>
  </si>
  <si>
    <t>Tori</t>
  </si>
  <si>
    <t>Angermeier</t>
  </si>
  <si>
    <t>Product Support Specialist</t>
  </si>
  <si>
    <t>tori.angermeier@cem.com</t>
  </si>
  <si>
    <t>Tristan</t>
  </si>
  <si>
    <t>Dinsmore</t>
  </si>
  <si>
    <t>133 Heath St</t>
  </si>
  <si>
    <t>Apt 16</t>
  </si>
  <si>
    <t>tristan.dinsmore@tufts.edu</t>
  </si>
  <si>
    <t>Troy</t>
  </si>
  <si>
    <t>527 N Stewart Ave</t>
  </si>
  <si>
    <t>tesmith@arizona.edu</t>
  </si>
  <si>
    <t>Tyler</t>
  </si>
  <si>
    <t>Bass</t>
  </si>
  <si>
    <t>Liberty Support Specialist</t>
  </si>
  <si>
    <t>tyler.bass@cem.com</t>
  </si>
  <si>
    <t>Vasily</t>
  </si>
  <si>
    <t>Gelfanov</t>
  </si>
  <si>
    <t>MBX Biosciences</t>
  </si>
  <si>
    <t>11711 N Meridian St</t>
  </si>
  <si>
    <t>Suite 300</t>
  </si>
  <si>
    <t>vgelfanov@mbxbio.com</t>
  </si>
  <si>
    <t>Ved</t>
  </si>
  <si>
    <t>Srivastava</t>
  </si>
  <si>
    <t>Chief Technology Officers</t>
  </si>
  <si>
    <t>Perpetual Medicines</t>
  </si>
  <si>
    <t>517 Alliance Circle</t>
  </si>
  <si>
    <t>Cary</t>
  </si>
  <si>
    <t>vedsrivastava1@yahoo.com</t>
  </si>
  <si>
    <t>Victor</t>
  </si>
  <si>
    <t>Outlaw</t>
  </si>
  <si>
    <t>601 S College Ave</t>
  </si>
  <si>
    <t>victoroutlaw@missouri.edu</t>
  </si>
  <si>
    <t>Viktor</t>
  </si>
  <si>
    <t>Prypoten</t>
  </si>
  <si>
    <t>unit 802, 70 Speakmen street</t>
  </si>
  <si>
    <t>Kensington</t>
  </si>
  <si>
    <t>viktor.prypoten1@monash.edu</t>
  </si>
  <si>
    <t>Vincent</t>
  </si>
  <si>
    <t>Lefebvre</t>
  </si>
  <si>
    <t>Graduate Student - external</t>
  </si>
  <si>
    <t>vincent.lefebvre@universite-paris-saclay.fr</t>
  </si>
  <si>
    <t>Wen</t>
  </si>
  <si>
    <t>vincent.wen@unfiedseparation.com</t>
  </si>
  <si>
    <t>Walter</t>
  </si>
  <si>
    <t>250 Massachusetts Avenue</t>
  </si>
  <si>
    <t>walter.michael@novartis.com</t>
  </si>
  <si>
    <t>wei</t>
  </si>
  <si>
    <t>Principal Scientist, Production</t>
  </si>
  <si>
    <t>wei.wang@bachem.com</t>
  </si>
  <si>
    <t>Weiyi</t>
  </si>
  <si>
    <t>Tang</t>
  </si>
  <si>
    <t>7693 Palmilla Dr Apt 2409</t>
  </si>
  <si>
    <t>92122-5088</t>
  </si>
  <si>
    <t>weiyitang8@gmail.com</t>
  </si>
  <si>
    <t>Wenchao</t>
  </si>
  <si>
    <t>Stanford university</t>
  </si>
  <si>
    <t>1701 Page Mill Rd, Palo Alto CA</t>
  </si>
  <si>
    <t>wenchaol@stanford.edu</t>
  </si>
  <si>
    <t>Wendy</t>
  </si>
  <si>
    <t>Hartsock</t>
  </si>
  <si>
    <t>Director of Strategic Partnerships</t>
  </si>
  <si>
    <t>18 University Drive</t>
  </si>
  <si>
    <t>Longmont</t>
  </si>
  <si>
    <t>WendyHartsockaps@gmail.com</t>
  </si>
  <si>
    <t>Wenshe</t>
  </si>
  <si>
    <t>Bovay Chair and Professor in Chemistry</t>
  </si>
  <si>
    <t>77843-3255</t>
  </si>
  <si>
    <t>wsliu2007@tamu.edu</t>
  </si>
  <si>
    <t>Wentao</t>
  </si>
  <si>
    <t>Guo</t>
  </si>
  <si>
    <t>Business Development Mangeter</t>
  </si>
  <si>
    <t>Atombeat Inc.</t>
  </si>
  <si>
    <t>3372 Daley Center Dr.</t>
  </si>
  <si>
    <t>wentao@dp.tech</t>
  </si>
  <si>
    <t>Wesley</t>
  </si>
  <si>
    <t>Greiner</t>
  </si>
  <si>
    <t>Sr. Sales Representative, North America</t>
  </si>
  <si>
    <t>CSBio</t>
  </si>
  <si>
    <t>915 Linda Vista</t>
  </si>
  <si>
    <t>Mountain View</t>
  </si>
  <si>
    <t>wesley.greiner@csbio.com</t>
  </si>
  <si>
    <t>Whitney</t>
  </si>
  <si>
    <t>Ong</t>
  </si>
  <si>
    <t>Associate Scientist, Postdoc Fellow</t>
  </si>
  <si>
    <t>Merck &amp; Co., Inc.</t>
  </si>
  <si>
    <t>200 Lewis St.</t>
  </si>
  <si>
    <t>Apt 400</t>
  </si>
  <si>
    <t>whitneyong@hotmail.com</t>
  </si>
  <si>
    <t>William</t>
  </si>
  <si>
    <t>Cooley</t>
  </si>
  <si>
    <t>Research Analyst</t>
  </si>
  <si>
    <t>SynChem-Formosa</t>
  </si>
  <si>
    <t>444 Parkway Dr</t>
  </si>
  <si>
    <t>Apt 409</t>
  </si>
  <si>
    <t>Lincolnshire</t>
  </si>
  <si>
    <t>wcooley@synchem.com</t>
  </si>
  <si>
    <t>DeGrado</t>
  </si>
  <si>
    <t>UCSF</t>
  </si>
  <si>
    <t>2720 Vallejo St</t>
  </si>
  <si>
    <t>bill.degrado@ucsf.edu</t>
  </si>
  <si>
    <t>415-476-9679</t>
  </si>
  <si>
    <t>Lubell</t>
  </si>
  <si>
    <t>Université de Montréal</t>
  </si>
  <si>
    <t>Département de chimie,</t>
  </si>
  <si>
    <t>Complexe des Sciences, B-3015, 1375 Avenue, 1375 Avenue Thérèse-Lavoie-Roux</t>
  </si>
  <si>
    <t>Montréal</t>
  </si>
  <si>
    <t>H2V 0B3</t>
  </si>
  <si>
    <t>william.lubell@umontreal.ca</t>
  </si>
  <si>
    <t>William Durvan</t>
  </si>
  <si>
    <t>Zandamela</t>
  </si>
  <si>
    <t>12575 Ruette Alliante #157</t>
  </si>
  <si>
    <t>gzandamela@scripps.edu</t>
  </si>
  <si>
    <t>Wolfgang</t>
  </si>
  <si>
    <t>R&amp;D VP</t>
  </si>
  <si>
    <t>Suzhou Nanomicro Technology Co., Ltd.</t>
  </si>
  <si>
    <t>wu.chen@nanomicrotech.com</t>
  </si>
  <si>
    <t>302 2299606</t>
  </si>
  <si>
    <t>Xiaohe</t>
  </si>
  <si>
    <t>Chief Technical officer</t>
  </si>
  <si>
    <t>tong@cpcscientific.com</t>
  </si>
  <si>
    <t>408-833-2166</t>
  </si>
  <si>
    <t>Xiaolin</t>
  </si>
  <si>
    <t>CHENG</t>
  </si>
  <si>
    <t>The University of Hong Kong, Pokfulam, Hong Kong</t>
  </si>
  <si>
    <t>u3008612@connect.hku.hk</t>
  </si>
  <si>
    <t>xingjian</t>
  </si>
  <si>
    <t>yu</t>
  </si>
  <si>
    <t>Neurocrine Bioscience</t>
  </si>
  <si>
    <t>yxjkunming@gmail.com</t>
  </si>
  <si>
    <t>Zhao</t>
  </si>
  <si>
    <t>13402 Thomasville Circle, Apt C</t>
  </si>
  <si>
    <t>xuezhao@usf.edu</t>
  </si>
  <si>
    <t>Y. George</t>
  </si>
  <si>
    <t>Zheng</t>
  </si>
  <si>
    <t>354 Wilson Pharmacy, 240 W Green St.</t>
  </si>
  <si>
    <t>yzheng@uga.edu</t>
  </si>
  <si>
    <t>yanbing</t>
  </si>
  <si>
    <t>zhang</t>
  </si>
  <si>
    <t>ceo</t>
  </si>
  <si>
    <t>bj science llc</t>
  </si>
  <si>
    <t>3611 N Staley suite 5</t>
  </si>
  <si>
    <t>champaign</t>
  </si>
  <si>
    <t>jen.zhang@bjsciences.com</t>
  </si>
  <si>
    <t>Ou</t>
  </si>
  <si>
    <t>University of Toronto</t>
  </si>
  <si>
    <t>80 St George St</t>
  </si>
  <si>
    <t>M5S 3H4</t>
  </si>
  <si>
    <t>daniel.ou@mail.utoronto.ca</t>
  </si>
  <si>
    <t>Yann</t>
  </si>
  <si>
    <t>Hermant</t>
  </si>
  <si>
    <t>47 Hobson Street</t>
  </si>
  <si>
    <t>Flat 47</t>
  </si>
  <si>
    <t>yann.hermant@auckland.ac.nz</t>
  </si>
  <si>
    <t>Yansong</t>
  </si>
  <si>
    <t>Head Of Laboratory, Medicinal Chemistry</t>
  </si>
  <si>
    <t>Nuvisan ICB GmbH</t>
  </si>
  <si>
    <t>Müllerstraße 178, 13353 Berlin</t>
  </si>
  <si>
    <t>yansong.wang@nuvisan.com</t>
  </si>
  <si>
    <t>Yaoyue</t>
  </si>
  <si>
    <t>ZHANG</t>
  </si>
  <si>
    <t>Rm 309, Chong Yuet Ming Chemistry Building, HKU, Pokfulam, Central and Western District, Hong Kong</t>
  </si>
  <si>
    <t>Room 2310, Mui Fong House, 10 Mui Fong Street, Sai Ying Pun, Central and Western District, Hong Kong</t>
  </si>
  <si>
    <t>yaoyuez@connect.hku.hk</t>
  </si>
  <si>
    <t>852 95857999</t>
  </si>
  <si>
    <t>Yen Jea</t>
  </si>
  <si>
    <t>Lawrence Berkeley National Laboratory</t>
  </si>
  <si>
    <t>1817 Oxford street</t>
  </si>
  <si>
    <t>unit 11</t>
  </si>
  <si>
    <t>yjlee@lbl.gov</t>
  </si>
  <si>
    <t>+1 408-472-5125</t>
  </si>
  <si>
    <t>Yihui</t>
  </si>
  <si>
    <t>Cao</t>
  </si>
  <si>
    <t>the University of Hong Kong</t>
  </si>
  <si>
    <t>310, Chong Yuet Ming Chemistry Building, Pokfulam Road, HKU</t>
  </si>
  <si>
    <t>Hong Kong Island</t>
  </si>
  <si>
    <t>u3007890@connect.hku.hk</t>
  </si>
  <si>
    <t>+852 56204001</t>
  </si>
  <si>
    <t>Yohei</t>
  </si>
  <si>
    <t>Okada</t>
  </si>
  <si>
    <t>yokada@cc.tuat.ac.jp</t>
  </si>
  <si>
    <t>Yong</t>
  </si>
  <si>
    <t>Ma</t>
  </si>
  <si>
    <t>Ph.D.</t>
  </si>
  <si>
    <t>retired</t>
  </si>
  <si>
    <t>818 Sunny Glen Ct.</t>
  </si>
  <si>
    <t>San Pablo</t>
  </si>
  <si>
    <t>novelab@yahoo.com</t>
  </si>
  <si>
    <t>Yongjin gong</t>
  </si>
  <si>
    <t>Gong</t>
  </si>
  <si>
    <t>CBO &amp; Co-Founder</t>
  </si>
  <si>
    <t>PeptiFinder Biotech</t>
  </si>
  <si>
    <t>22 Strathmore, Natick, MA01760</t>
  </si>
  <si>
    <t>Natick</t>
  </si>
  <si>
    <t>yongjin.gong@peptifinder.com</t>
  </si>
  <si>
    <t>Yoshimasa</t>
  </si>
  <si>
    <t>Kawaguchi</t>
  </si>
  <si>
    <t>PhD.</t>
  </si>
  <si>
    <t>Kyoto University</t>
  </si>
  <si>
    <t>Gokasho</t>
  </si>
  <si>
    <t>Uji</t>
  </si>
  <si>
    <t>611-0011</t>
  </si>
  <si>
    <t>kawaguchi.yoshimasa.8t@kyoto-u.ac.jp</t>
  </si>
  <si>
    <t>JAEHOON</t>
  </si>
  <si>
    <t>CAMP Therapeutics Co., Ltd. &amp; Department of Chemistry &amp; Education/ Seoul National University</t>
  </si>
  <si>
    <t>Room 213, Building 105-1, Institute of Molecular Biology and Genetics, Seoul National University, 1,</t>
  </si>
  <si>
    <t>SEOUL</t>
  </si>
  <si>
    <t>jhoonyu@snu.ac.kr</t>
  </si>
  <si>
    <t>+82 10 2062 0913 (Cell)</t>
  </si>
  <si>
    <t>Yu Yu</t>
  </si>
  <si>
    <t>Win</t>
  </si>
  <si>
    <t>5009 Excellence Blvd</t>
  </si>
  <si>
    <t>248A</t>
  </si>
  <si>
    <t>yuyuwin@usf.edu</t>
  </si>
  <si>
    <t>Yuankun</t>
  </si>
  <si>
    <t>Dao</t>
  </si>
  <si>
    <t>1701 Page Mill Road</t>
  </si>
  <si>
    <t>daoyk@stanford.edu</t>
  </si>
  <si>
    <t>Yuanming</t>
  </si>
  <si>
    <t>C. Phil.</t>
  </si>
  <si>
    <t>154 Amherst Aisle</t>
  </si>
  <si>
    <t>yuanmis1@uci.edu</t>
  </si>
  <si>
    <t>Yuhan</t>
  </si>
  <si>
    <t>Lin</t>
  </si>
  <si>
    <t>graduate student</t>
  </si>
  <si>
    <t>Chevron Science Center 1406</t>
  </si>
  <si>
    <t>yul272@pitt.edu</t>
  </si>
  <si>
    <t>Yuji</t>
  </si>
  <si>
    <t>Yamada</t>
  </si>
  <si>
    <t>1432-1 Horinouchi, Hachioji</t>
  </si>
  <si>
    <t>192-0392</t>
  </si>
  <si>
    <t>yuyamada@toyaku.ac.jp</t>
  </si>
  <si>
    <t>Yuki</t>
  </si>
  <si>
    <t>Goto</t>
  </si>
  <si>
    <t>Kitashirakawa-Oiwake-cho, Sakyo</t>
  </si>
  <si>
    <t>Kyoto</t>
  </si>
  <si>
    <t>606-8502</t>
  </si>
  <si>
    <t>goto.yuki.4x@kyoto-u.ac.jp</t>
  </si>
  <si>
    <t>Yukiko</t>
  </si>
  <si>
    <t>Ishii</t>
  </si>
  <si>
    <t>Research manager</t>
  </si>
  <si>
    <t>FUJIFILM</t>
  </si>
  <si>
    <t>577, Ushijima, Kaisei-machi,</t>
  </si>
  <si>
    <t>Ashigarakami-gun, Kanagawa</t>
  </si>
  <si>
    <t>258-8577</t>
  </si>
  <si>
    <t>yukiko.ishii@fujifilm.com</t>
  </si>
  <si>
    <t>Yu-Shan</t>
  </si>
  <si>
    <t>yu-shan.lin@tufts.edu</t>
  </si>
  <si>
    <t>Yuzhong</t>
  </si>
  <si>
    <t>Chi-Huey Wong Laboratories for Biomedical Research, CHWL217</t>
  </si>
  <si>
    <t>ydiercks@scripps.edu</t>
  </si>
  <si>
    <t>Yvonne</t>
  </si>
  <si>
    <t>Angell</t>
  </si>
  <si>
    <t>Executive Director Head of TIDES Discovery Project Management</t>
  </si>
  <si>
    <t>yvonne.angell@wuxiapptec.com</t>
  </si>
  <si>
    <t>Zachary</t>
  </si>
  <si>
    <t>Gates</t>
  </si>
  <si>
    <t>Senior Scientist II</t>
  </si>
  <si>
    <t>Agency for Science, Technology &amp; Research (A*STAR)</t>
  </si>
  <si>
    <t>57 Normanton Park, #04-62</t>
  </si>
  <si>
    <t>Zachary_Gates@imcb.a-star.edu.sg</t>
  </si>
  <si>
    <t>Zaid</t>
  </si>
  <si>
    <t>Amso</t>
  </si>
  <si>
    <t>Associate Director, Chemistry</t>
  </si>
  <si>
    <t>Calibr-Skaggs, Scripps Research</t>
  </si>
  <si>
    <t>11119 N Torrey Pines Rd</t>
  </si>
  <si>
    <t>zaidamso@scripps.edu</t>
  </si>
  <si>
    <t>(858) 242-1018</t>
  </si>
  <si>
    <t>Scientist II &amp; Project Manager</t>
  </si>
  <si>
    <t>InnoPep Inc.</t>
  </si>
  <si>
    <t>10239 Flanders Ct. Ste 102</t>
  </si>
  <si>
    <t>zhao.li@innopep.com</t>
  </si>
  <si>
    <t>Zhenquan</t>
  </si>
  <si>
    <t>900 E 57th St, Chicago, IL 60637</t>
  </si>
  <si>
    <t>Knapp Center for Biomedical Discovery (KCBD) 4220</t>
  </si>
  <si>
    <t>sunzhq@uchicago.edu</t>
  </si>
  <si>
    <t>Zheqi</t>
  </si>
  <si>
    <t>CYC 309 room, Chong Yuet Ming Chemistry Building, The University of Hong Kong, Pok Fu lam Rd</t>
  </si>
  <si>
    <t>lizheqi@hku.hk</t>
  </si>
  <si>
    <t>Zhuomin</t>
  </si>
  <si>
    <t>Luo</t>
  </si>
  <si>
    <t>519 Zi Yue Road,</t>
  </si>
  <si>
    <t>lzm@glschina.com</t>
  </si>
  <si>
    <t>Zichen</t>
  </si>
  <si>
    <t>Postdoctoral Research Associate</t>
  </si>
  <si>
    <t>University of Virgina</t>
  </si>
  <si>
    <t>1800 JEFFERSON PARK AVE</t>
  </si>
  <si>
    <t>CHARLOTTESVILLE</t>
  </si>
  <si>
    <t>zl9wn@virginia.edu</t>
  </si>
  <si>
    <t>Zigang</t>
  </si>
  <si>
    <t>Peking University Shenzhen</t>
  </si>
  <si>
    <t>Peking University Campus. Shenzhen University Town, Lishui Road, Xili Town, Nanshan District</t>
  </si>
  <si>
    <t>lizg@pkusz.edu.cn</t>
  </si>
  <si>
    <t>Ziqing</t>
  </si>
  <si>
    <t>Jiang</t>
  </si>
  <si>
    <t>Process Project Lead</t>
  </si>
  <si>
    <t>Corden Pharma Colorado</t>
  </si>
  <si>
    <t>5541 W 73rd Pl</t>
  </si>
  <si>
    <t>Westminster</t>
  </si>
  <si>
    <t>ziqing.jiang@cordenpharma.com</t>
  </si>
  <si>
    <t>303-396-8549</t>
  </si>
  <si>
    <t>Zoe</t>
  </si>
  <si>
    <t>Adams</t>
  </si>
  <si>
    <t>Scientist I</t>
  </si>
  <si>
    <t>Avidity Biosciences, Inc.</t>
  </si>
  <si>
    <t>10578 Sciences Center Drive,</t>
  </si>
  <si>
    <t>Suite 125</t>
  </si>
  <si>
    <t>zoe.adams@aviditybio.com</t>
  </si>
  <si>
    <t>O'Gara</t>
  </si>
  <si>
    <t>VP Discovery</t>
  </si>
  <si>
    <t>48Hour Discovery Inc</t>
  </si>
  <si>
    <t>zogara@48hourdiscovery.com</t>
  </si>
  <si>
    <t>First</t>
  </si>
  <si>
    <t>Last</t>
  </si>
  <si>
    <t>Title</t>
  </si>
  <si>
    <t>Affiliation</t>
  </si>
  <si>
    <t>Address 1</t>
  </si>
  <si>
    <t>Address 2</t>
  </si>
  <si>
    <t>City</t>
  </si>
  <si>
    <t>State</t>
  </si>
  <si>
    <t>Postal Code</t>
  </si>
  <si>
    <t>Country</t>
  </si>
  <si>
    <t>Email</t>
  </si>
  <si>
    <t>Phone</t>
  </si>
  <si>
    <t>Start-Up/PUI</t>
  </si>
  <si>
    <t>Postdoc/Retired</t>
  </si>
  <si>
    <t>Industry Professional</t>
  </si>
  <si>
    <t>Academic 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</si>
</sst>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0" xfId="0" applyFont="1"/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38D9-C590-4A5C-87A6-AB6B44A52BF9}">
  <dimension ref="A1:R619"/>
  <sheetViews>
    <sheetView tabSelected="1" workbookViewId="0">
      <selection activeCell="A12" sqref="A12"/>
    </sheetView>
  </sheetViews>
  <sheetFormatPr defaultRowHeight="14.4" x14ac:dyDescent="0.3"/>
  <cols>
    <col min="1" max="1" width="26.77734375" bestFit="1" customWidth="1"/>
    <col min="2" max="2" width="28.77734375" bestFit="1" customWidth="1"/>
    <col min="3" max="3" width="105.5546875" bestFit="1" customWidth="1"/>
    <col min="4" max="4" width="152" bestFit="1" customWidth="1"/>
    <col min="5" max="5" width="113.88671875" bestFit="1" customWidth="1"/>
    <col min="6" max="6" width="108.6640625" bestFit="1" customWidth="1"/>
    <col min="7" max="7" width="34.109375" bestFit="1" customWidth="1"/>
    <col min="8" max="8" width="5.77734375" bestFit="1" customWidth="1"/>
    <col min="9" max="9" width="14.33203125" bestFit="1" customWidth="1"/>
    <col min="10" max="10" width="22.6640625" bestFit="1" customWidth="1"/>
    <col min="11" max="11" width="52.21875" bestFit="1" customWidth="1"/>
    <col min="12" max="12" width="27.21875" bestFit="1" customWidth="1"/>
    <col min="13" max="13" width="21.5546875" bestFit="1" customWidth="1"/>
    <col min="14" max="14" width="16.5546875" bestFit="1" customWidth="1"/>
    <col min="15" max="15" width="19.88671875" bestFit="1" customWidth="1"/>
    <col min="16" max="16" width="26.109375" bestFit="1" customWidth="1"/>
    <col min="17" max="17" width="27.109375" bestFit="1" customWidth="1"/>
    <col min="18" max="18" width="28.33203125" bestFit="1" customWidth="1"/>
  </cols>
  <sheetData>
    <row r="1" spans="1:18" s="7" customFormat="1" x14ac:dyDescent="0.3">
      <c r="A1" s="5" t="s">
        <v>3546</v>
      </c>
      <c r="B1" s="6" t="s">
        <v>3547</v>
      </c>
      <c r="C1" s="6" t="s">
        <v>3548</v>
      </c>
      <c r="D1" s="6" t="s">
        <v>3549</v>
      </c>
      <c r="E1" s="6" t="s">
        <v>3550</v>
      </c>
      <c r="F1" s="6" t="s">
        <v>3551</v>
      </c>
      <c r="G1" s="6" t="s">
        <v>3552</v>
      </c>
      <c r="H1" s="6" t="s">
        <v>3553</v>
      </c>
      <c r="I1" s="6" t="s">
        <v>3554</v>
      </c>
      <c r="J1" s="6" t="s">
        <v>3555</v>
      </c>
      <c r="K1" s="6" t="s">
        <v>3556</v>
      </c>
      <c r="L1" s="6" t="s">
        <v>3557</v>
      </c>
      <c r="M1" s="6" t="s">
        <v>78</v>
      </c>
      <c r="N1" s="6" t="s">
        <v>3558</v>
      </c>
      <c r="O1" s="6" t="s">
        <v>3559</v>
      </c>
      <c r="P1" s="6" t="s">
        <v>3560</v>
      </c>
      <c r="Q1" s="6" t="s">
        <v>3561</v>
      </c>
      <c r="R1" s="6" t="s">
        <v>244</v>
      </c>
    </row>
    <row r="2" spans="1:18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>
        <v>2139</v>
      </c>
      <c r="J2" s="2" t="s">
        <v>8</v>
      </c>
      <c r="K2" s="2" t="s">
        <v>9</v>
      </c>
      <c r="L2" s="2" t="s">
        <v>10</v>
      </c>
      <c r="M2" s="2" t="s">
        <v>26</v>
      </c>
      <c r="N2" s="2" t="s">
        <v>26</v>
      </c>
      <c r="O2" s="2" t="s">
        <v>26</v>
      </c>
      <c r="P2" s="8" t="s">
        <v>11</v>
      </c>
      <c r="Q2" s="2" t="s">
        <v>26</v>
      </c>
      <c r="R2" s="2" t="s">
        <v>26</v>
      </c>
    </row>
    <row r="3" spans="1:18" x14ac:dyDescent="0.3">
      <c r="A3" s="1" t="s">
        <v>0</v>
      </c>
      <c r="B3" s="2" t="s">
        <v>12</v>
      </c>
      <c r="C3" s="2" t="s">
        <v>13</v>
      </c>
      <c r="D3" s="2" t="s">
        <v>14</v>
      </c>
      <c r="E3" s="2" t="s">
        <v>15</v>
      </c>
      <c r="F3" s="2"/>
      <c r="G3" s="2" t="s">
        <v>16</v>
      </c>
      <c r="H3" s="2" t="s">
        <v>17</v>
      </c>
      <c r="I3" s="2">
        <v>92130</v>
      </c>
      <c r="J3" s="2" t="s">
        <v>8</v>
      </c>
      <c r="K3" s="2" t="s">
        <v>18</v>
      </c>
      <c r="L3" s="2">
        <v>7634386043</v>
      </c>
      <c r="M3" s="2" t="s">
        <v>26</v>
      </c>
      <c r="N3" s="2" t="s">
        <v>26</v>
      </c>
      <c r="O3" s="2" t="s">
        <v>26</v>
      </c>
      <c r="P3" s="8" t="s">
        <v>11</v>
      </c>
      <c r="Q3" s="2" t="s">
        <v>26</v>
      </c>
      <c r="R3" s="2" t="s">
        <v>26</v>
      </c>
    </row>
    <row r="4" spans="1:18" x14ac:dyDescent="0.3">
      <c r="A4" s="1" t="s">
        <v>19</v>
      </c>
      <c r="B4" s="2" t="s">
        <v>20</v>
      </c>
      <c r="C4" s="2" t="s">
        <v>13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17</v>
      </c>
      <c r="I4" s="2">
        <v>94080</v>
      </c>
      <c r="J4" s="2" t="s">
        <v>8</v>
      </c>
      <c r="K4" s="2" t="s">
        <v>25</v>
      </c>
      <c r="L4" s="2">
        <v>8182778050</v>
      </c>
      <c r="M4" s="2" t="s">
        <v>26</v>
      </c>
      <c r="N4" s="8" t="s">
        <v>11</v>
      </c>
      <c r="O4" s="2" t="s">
        <v>26</v>
      </c>
      <c r="P4" s="2" t="s">
        <v>26</v>
      </c>
      <c r="Q4" s="2" t="s">
        <v>26</v>
      </c>
      <c r="R4" s="2" t="s">
        <v>26</v>
      </c>
    </row>
    <row r="5" spans="1:18" x14ac:dyDescent="0.3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>
        <v>46637</v>
      </c>
      <c r="J5" s="2" t="s">
        <v>8</v>
      </c>
      <c r="K5" s="2" t="s">
        <v>35</v>
      </c>
      <c r="L5" s="2">
        <v>15743148517</v>
      </c>
      <c r="M5" s="2" t="s">
        <v>26</v>
      </c>
      <c r="N5" s="2" t="s">
        <v>26</v>
      </c>
      <c r="O5" s="8" t="s">
        <v>11</v>
      </c>
      <c r="P5" s="2" t="s">
        <v>26</v>
      </c>
      <c r="Q5" s="2" t="s">
        <v>26</v>
      </c>
      <c r="R5" s="2" t="s">
        <v>26</v>
      </c>
    </row>
    <row r="6" spans="1:18" x14ac:dyDescent="0.3">
      <c r="A6" s="1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/>
      <c r="G6" s="2" t="s">
        <v>43</v>
      </c>
      <c r="H6" s="2" t="s">
        <v>17</v>
      </c>
      <c r="I6" s="2">
        <v>92122</v>
      </c>
      <c r="J6" s="2" t="s">
        <v>8</v>
      </c>
      <c r="K6" s="2" t="s">
        <v>44</v>
      </c>
      <c r="L6" s="2">
        <v>5853608193</v>
      </c>
      <c r="M6" s="2" t="s">
        <v>26</v>
      </c>
      <c r="N6" s="2" t="s">
        <v>26</v>
      </c>
      <c r="O6" s="2" t="s">
        <v>26</v>
      </c>
      <c r="P6" s="8" t="s">
        <v>11</v>
      </c>
      <c r="Q6" s="2" t="s">
        <v>26</v>
      </c>
      <c r="R6" s="2" t="s">
        <v>26</v>
      </c>
    </row>
    <row r="7" spans="1:18" x14ac:dyDescent="0.3">
      <c r="A7" s="1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/>
      <c r="G7" s="2" t="s">
        <v>50</v>
      </c>
      <c r="H7" s="2" t="s">
        <v>51</v>
      </c>
      <c r="I7" s="2">
        <v>21702</v>
      </c>
      <c r="J7" s="2" t="s">
        <v>8</v>
      </c>
      <c r="K7" s="2" t="s">
        <v>52</v>
      </c>
      <c r="L7" s="2">
        <v>3012284192</v>
      </c>
      <c r="M7" s="2" t="s">
        <v>26</v>
      </c>
      <c r="N7" s="2" t="s">
        <v>26</v>
      </c>
      <c r="O7" s="8" t="s">
        <v>11</v>
      </c>
      <c r="P7" s="2" t="s">
        <v>26</v>
      </c>
      <c r="Q7" s="2" t="s">
        <v>26</v>
      </c>
      <c r="R7" s="2" t="s">
        <v>26</v>
      </c>
    </row>
    <row r="8" spans="1:18" x14ac:dyDescent="0.3">
      <c r="A8" s="1" t="s">
        <v>53</v>
      </c>
      <c r="B8" s="2" t="s">
        <v>54</v>
      </c>
      <c r="C8" s="2" t="s">
        <v>55</v>
      </c>
      <c r="D8" s="2" t="s">
        <v>14</v>
      </c>
      <c r="E8" s="2" t="s">
        <v>56</v>
      </c>
      <c r="F8" s="2"/>
      <c r="G8" s="2" t="s">
        <v>16</v>
      </c>
      <c r="H8" s="2" t="s">
        <v>17</v>
      </c>
      <c r="I8" s="2">
        <v>92130</v>
      </c>
      <c r="J8" s="2" t="s">
        <v>8</v>
      </c>
      <c r="K8" s="2" t="s">
        <v>57</v>
      </c>
      <c r="L8" s="2" t="s">
        <v>58</v>
      </c>
      <c r="M8" s="2" t="s">
        <v>26</v>
      </c>
      <c r="N8" s="2" t="s">
        <v>26</v>
      </c>
      <c r="O8" s="2" t="s">
        <v>26</v>
      </c>
      <c r="P8" s="8" t="s">
        <v>11</v>
      </c>
      <c r="Q8" s="2" t="s">
        <v>26</v>
      </c>
      <c r="R8" s="2" t="s">
        <v>26</v>
      </c>
    </row>
    <row r="9" spans="1:18" x14ac:dyDescent="0.3">
      <c r="A9" s="1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/>
      <c r="G9" s="2" t="s">
        <v>64</v>
      </c>
      <c r="H9" s="2" t="s">
        <v>65</v>
      </c>
      <c r="I9" s="2">
        <v>34987</v>
      </c>
      <c r="J9" s="2" t="s">
        <v>8</v>
      </c>
      <c r="K9" s="2" t="s">
        <v>66</v>
      </c>
      <c r="L9" s="2" t="s">
        <v>67</v>
      </c>
      <c r="M9" s="2" t="s">
        <v>26</v>
      </c>
      <c r="N9" s="2" t="s">
        <v>26</v>
      </c>
      <c r="O9" s="2" t="s">
        <v>26</v>
      </c>
      <c r="P9" s="2" t="s">
        <v>26</v>
      </c>
      <c r="Q9" s="8" t="s">
        <v>11</v>
      </c>
      <c r="R9" s="2" t="s">
        <v>26</v>
      </c>
    </row>
    <row r="10" spans="1:18" x14ac:dyDescent="0.3">
      <c r="A10" s="1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/>
      <c r="G10" s="2" t="s">
        <v>73</v>
      </c>
      <c r="H10" s="2" t="s">
        <v>74</v>
      </c>
      <c r="I10" s="2">
        <v>8093</v>
      </c>
      <c r="J10" s="2" t="s">
        <v>75</v>
      </c>
      <c r="K10" s="2" t="s">
        <v>76</v>
      </c>
      <c r="L10" s="2" t="s">
        <v>77</v>
      </c>
      <c r="M10" s="8" t="s">
        <v>11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</row>
    <row r="11" spans="1:18" x14ac:dyDescent="0.3">
      <c r="A11" s="1" t="s">
        <v>79</v>
      </c>
      <c r="B11" s="2" t="s">
        <v>80</v>
      </c>
      <c r="C11" s="2" t="s">
        <v>81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74</v>
      </c>
      <c r="I11" s="2">
        <v>8380000</v>
      </c>
      <c r="J11" s="2" t="s">
        <v>86</v>
      </c>
      <c r="K11" s="2" t="s">
        <v>87</v>
      </c>
      <c r="L11" s="2" t="s">
        <v>88</v>
      </c>
      <c r="M11" s="2" t="s">
        <v>26</v>
      </c>
      <c r="N11" s="2" t="s">
        <v>26</v>
      </c>
      <c r="O11" s="2" t="s">
        <v>26</v>
      </c>
      <c r="P11" s="2" t="s">
        <v>26</v>
      </c>
      <c r="Q11" s="8" t="s">
        <v>11</v>
      </c>
      <c r="R11" s="2" t="s">
        <v>26</v>
      </c>
    </row>
    <row r="12" spans="1:18" x14ac:dyDescent="0.3">
      <c r="A12" s="1" t="s">
        <v>89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>
        <v>5147432961</v>
      </c>
      <c r="M12" s="2" t="s">
        <v>26</v>
      </c>
      <c r="N12" s="2" t="s">
        <v>26</v>
      </c>
      <c r="O12" s="2" t="s">
        <v>26</v>
      </c>
      <c r="P12" s="8" t="s">
        <v>11</v>
      </c>
      <c r="Q12" s="2" t="s">
        <v>26</v>
      </c>
      <c r="R12" s="2" t="s">
        <v>26</v>
      </c>
    </row>
    <row r="13" spans="1:18" x14ac:dyDescent="0.3">
      <c r="A13" s="1" t="s">
        <v>100</v>
      </c>
      <c r="B13" s="2" t="s">
        <v>101</v>
      </c>
      <c r="C13" s="2" t="s">
        <v>102</v>
      </c>
      <c r="D13" s="2" t="s">
        <v>103</v>
      </c>
      <c r="E13" s="2" t="s">
        <v>104</v>
      </c>
      <c r="F13" s="2"/>
      <c r="G13" s="2" t="s">
        <v>105</v>
      </c>
      <c r="H13" s="2" t="s">
        <v>74</v>
      </c>
      <c r="I13" s="2">
        <v>1010</v>
      </c>
      <c r="J13" s="2" t="s">
        <v>106</v>
      </c>
      <c r="K13" s="2" t="s">
        <v>107</v>
      </c>
      <c r="L13" s="2">
        <v>64212179928</v>
      </c>
      <c r="M13" s="2" t="s">
        <v>26</v>
      </c>
      <c r="N13" s="2" t="s">
        <v>26</v>
      </c>
      <c r="O13" s="2" t="s">
        <v>26</v>
      </c>
      <c r="P13" s="2" t="s">
        <v>26</v>
      </c>
      <c r="Q13" s="8" t="s">
        <v>11</v>
      </c>
      <c r="R13" s="2" t="s">
        <v>26</v>
      </c>
    </row>
    <row r="14" spans="1:18" x14ac:dyDescent="0.3">
      <c r="A14" s="1" t="s">
        <v>108</v>
      </c>
      <c r="B14" s="2" t="s">
        <v>109</v>
      </c>
      <c r="C14" s="2"/>
      <c r="D14" s="2" t="s">
        <v>110</v>
      </c>
      <c r="E14" s="2"/>
      <c r="F14" s="2"/>
      <c r="G14" s="2"/>
      <c r="H14" s="2"/>
      <c r="I14" s="2"/>
      <c r="J14" s="2" t="s">
        <v>8</v>
      </c>
      <c r="K14" s="2" t="s">
        <v>111</v>
      </c>
      <c r="L14" s="2"/>
      <c r="M14" s="2" t="s">
        <v>26</v>
      </c>
      <c r="N14" s="2" t="s">
        <v>26</v>
      </c>
      <c r="O14" s="2" t="s">
        <v>26</v>
      </c>
      <c r="P14" s="8" t="s">
        <v>11</v>
      </c>
      <c r="Q14" s="2" t="s">
        <v>26</v>
      </c>
      <c r="R14" s="2" t="s">
        <v>26</v>
      </c>
    </row>
    <row r="15" spans="1:18" x14ac:dyDescent="0.3">
      <c r="A15" s="1" t="s">
        <v>112</v>
      </c>
      <c r="B15" s="2" t="s">
        <v>113</v>
      </c>
      <c r="C15" s="2" t="s">
        <v>37</v>
      </c>
      <c r="D15" s="2" t="s">
        <v>114</v>
      </c>
      <c r="E15" s="2" t="s">
        <v>115</v>
      </c>
      <c r="F15" s="2"/>
      <c r="G15" s="2" t="s">
        <v>116</v>
      </c>
      <c r="H15" s="2" t="s">
        <v>17</v>
      </c>
      <c r="I15" s="2">
        <v>92037</v>
      </c>
      <c r="J15" s="2" t="s">
        <v>8</v>
      </c>
      <c r="K15" s="2" t="s">
        <v>117</v>
      </c>
      <c r="L15" s="2" t="s">
        <v>118</v>
      </c>
      <c r="M15" s="2" t="s">
        <v>26</v>
      </c>
      <c r="N15" s="2" t="s">
        <v>26</v>
      </c>
      <c r="O15" s="8" t="s">
        <v>11</v>
      </c>
      <c r="P15" s="2" t="s">
        <v>26</v>
      </c>
      <c r="Q15" s="2" t="s">
        <v>26</v>
      </c>
      <c r="R15" s="2" t="s">
        <v>26</v>
      </c>
    </row>
    <row r="16" spans="1:18" x14ac:dyDescent="0.3">
      <c r="A16" s="1" t="s">
        <v>119</v>
      </c>
      <c r="B16" s="2" t="s">
        <v>120</v>
      </c>
      <c r="C16" s="2" t="s">
        <v>121</v>
      </c>
      <c r="D16" s="2" t="s">
        <v>122</v>
      </c>
      <c r="E16" s="2" t="s">
        <v>123</v>
      </c>
      <c r="F16" s="2"/>
      <c r="G16" s="2" t="s">
        <v>124</v>
      </c>
      <c r="H16" s="2" t="s">
        <v>125</v>
      </c>
      <c r="I16" s="2" t="s">
        <v>126</v>
      </c>
      <c r="J16" s="2" t="s">
        <v>8</v>
      </c>
      <c r="K16" s="2" t="s">
        <v>127</v>
      </c>
      <c r="L16" s="2">
        <v>2053918958</v>
      </c>
      <c r="M16" s="2" t="s">
        <v>26</v>
      </c>
      <c r="N16" s="2" t="s">
        <v>26</v>
      </c>
      <c r="O16" s="8" t="s">
        <v>11</v>
      </c>
      <c r="P16" s="2" t="s">
        <v>26</v>
      </c>
      <c r="Q16" s="2" t="s">
        <v>26</v>
      </c>
      <c r="R16" s="2" t="s">
        <v>26</v>
      </c>
    </row>
    <row r="17" spans="1:18" x14ac:dyDescent="0.3">
      <c r="A17" s="1" t="s">
        <v>128</v>
      </c>
      <c r="B17" s="2" t="s">
        <v>129</v>
      </c>
      <c r="C17" s="2" t="s">
        <v>130</v>
      </c>
      <c r="D17" s="2" t="s">
        <v>131</v>
      </c>
      <c r="E17" s="2" t="s">
        <v>132</v>
      </c>
      <c r="F17" s="2"/>
      <c r="G17" s="2" t="s">
        <v>133</v>
      </c>
      <c r="H17" s="2" t="s">
        <v>134</v>
      </c>
      <c r="I17" s="2">
        <v>85714</v>
      </c>
      <c r="J17" s="2" t="s">
        <v>8</v>
      </c>
      <c r="K17" s="2" t="s">
        <v>135</v>
      </c>
      <c r="L17" s="2" t="s">
        <v>136</v>
      </c>
      <c r="M17" s="2" t="s">
        <v>26</v>
      </c>
      <c r="N17" s="2" t="s">
        <v>26</v>
      </c>
      <c r="O17" s="2" t="s">
        <v>26</v>
      </c>
      <c r="P17" s="8" t="s">
        <v>11</v>
      </c>
      <c r="Q17" s="2" t="s">
        <v>26</v>
      </c>
      <c r="R17" s="2" t="s">
        <v>26</v>
      </c>
    </row>
    <row r="18" spans="1:18" x14ac:dyDescent="0.3">
      <c r="A18" s="1" t="s">
        <v>137</v>
      </c>
      <c r="B18" s="2" t="s">
        <v>138</v>
      </c>
      <c r="C18" s="2" t="s">
        <v>139</v>
      </c>
      <c r="D18" s="2" t="s">
        <v>140</v>
      </c>
      <c r="E18" s="2" t="s">
        <v>141</v>
      </c>
      <c r="F18" s="2"/>
      <c r="G18" s="2" t="s">
        <v>142</v>
      </c>
      <c r="H18" s="2" t="s">
        <v>143</v>
      </c>
      <c r="I18" s="2">
        <v>8066</v>
      </c>
      <c r="J18" s="2" t="s">
        <v>8</v>
      </c>
      <c r="K18" s="2" t="s">
        <v>144</v>
      </c>
      <c r="L18" s="2" t="s">
        <v>145</v>
      </c>
      <c r="M18" s="2" t="s">
        <v>26</v>
      </c>
      <c r="N18" s="2" t="s">
        <v>26</v>
      </c>
      <c r="O18" s="2" t="s">
        <v>26</v>
      </c>
      <c r="P18" s="8" t="s">
        <v>11</v>
      </c>
      <c r="Q18" s="2" t="s">
        <v>26</v>
      </c>
      <c r="R18" s="2" t="s">
        <v>26</v>
      </c>
    </row>
    <row r="19" spans="1:18" x14ac:dyDescent="0.3">
      <c r="A19" s="1" t="s">
        <v>137</v>
      </c>
      <c r="B19" s="2" t="s">
        <v>146</v>
      </c>
      <c r="C19" s="2"/>
      <c r="D19" s="2" t="s">
        <v>147</v>
      </c>
      <c r="E19" s="2" t="s">
        <v>148</v>
      </c>
      <c r="F19" s="2"/>
      <c r="G19" s="2" t="s">
        <v>149</v>
      </c>
      <c r="H19" s="2" t="s">
        <v>17</v>
      </c>
      <c r="I19" s="2">
        <v>90505</v>
      </c>
      <c r="J19" s="2" t="s">
        <v>8</v>
      </c>
      <c r="K19" s="2" t="s">
        <v>150</v>
      </c>
      <c r="L19" s="2" t="s">
        <v>151</v>
      </c>
      <c r="M19" s="2" t="s">
        <v>26</v>
      </c>
      <c r="N19" s="2" t="s">
        <v>26</v>
      </c>
      <c r="O19" s="2" t="s">
        <v>26</v>
      </c>
      <c r="P19" s="8" t="s">
        <v>11</v>
      </c>
      <c r="Q19" s="2" t="s">
        <v>26</v>
      </c>
      <c r="R19" s="2" t="s">
        <v>26</v>
      </c>
    </row>
    <row r="20" spans="1:18" x14ac:dyDescent="0.3">
      <c r="A20" s="1" t="s">
        <v>137</v>
      </c>
      <c r="B20" s="2" t="s">
        <v>152</v>
      </c>
      <c r="C20" s="2" t="s">
        <v>153</v>
      </c>
      <c r="D20" s="2" t="s">
        <v>154</v>
      </c>
      <c r="E20" s="2" t="s">
        <v>155</v>
      </c>
      <c r="F20" s="2"/>
      <c r="G20" s="2" t="s">
        <v>156</v>
      </c>
      <c r="H20" s="2" t="s">
        <v>34</v>
      </c>
      <c r="I20" s="2">
        <v>46202</v>
      </c>
      <c r="J20" s="2" t="s">
        <v>8</v>
      </c>
      <c r="K20" s="2" t="s">
        <v>157</v>
      </c>
      <c r="L20" s="2">
        <v>3302037675</v>
      </c>
      <c r="M20" s="2" t="s">
        <v>26</v>
      </c>
      <c r="N20" s="8" t="s">
        <v>11</v>
      </c>
      <c r="O20" s="2" t="s">
        <v>26</v>
      </c>
      <c r="P20" s="2" t="s">
        <v>26</v>
      </c>
      <c r="Q20" s="2" t="s">
        <v>26</v>
      </c>
      <c r="R20" s="2" t="s">
        <v>26</v>
      </c>
    </row>
    <row r="21" spans="1:18" x14ac:dyDescent="0.3">
      <c r="A21" s="1" t="s">
        <v>158</v>
      </c>
      <c r="B21" s="2" t="s">
        <v>159</v>
      </c>
      <c r="C21" s="2" t="s">
        <v>29</v>
      </c>
      <c r="D21" s="2" t="s">
        <v>160</v>
      </c>
      <c r="E21" s="2" t="s">
        <v>161</v>
      </c>
      <c r="F21" s="2"/>
      <c r="G21" s="2" t="s">
        <v>162</v>
      </c>
      <c r="H21" s="2" t="s">
        <v>74</v>
      </c>
      <c r="I21" s="2">
        <v>4056</v>
      </c>
      <c r="J21" s="2" t="s">
        <v>75</v>
      </c>
      <c r="K21" s="2" t="s">
        <v>163</v>
      </c>
      <c r="L21" s="2" t="s">
        <v>164</v>
      </c>
      <c r="M21" s="2" t="s">
        <v>26</v>
      </c>
      <c r="N21" s="2" t="s">
        <v>26</v>
      </c>
      <c r="O21" s="8" t="s">
        <v>11</v>
      </c>
      <c r="P21" s="2" t="s">
        <v>26</v>
      </c>
      <c r="Q21" s="2" t="s">
        <v>26</v>
      </c>
      <c r="R21" s="2" t="s">
        <v>26</v>
      </c>
    </row>
    <row r="22" spans="1:18" x14ac:dyDescent="0.3">
      <c r="A22" s="1" t="s">
        <v>165</v>
      </c>
      <c r="B22" s="2" t="s">
        <v>166</v>
      </c>
      <c r="C22" s="2" t="s">
        <v>167</v>
      </c>
      <c r="D22" s="2" t="s">
        <v>168</v>
      </c>
      <c r="E22" s="2" t="s">
        <v>169</v>
      </c>
      <c r="F22" s="2"/>
      <c r="G22" s="2" t="s">
        <v>170</v>
      </c>
      <c r="H22" s="2" t="s">
        <v>74</v>
      </c>
      <c r="I22" s="2">
        <v>2760</v>
      </c>
      <c r="J22" s="2" t="s">
        <v>171</v>
      </c>
      <c r="K22" s="2" t="s">
        <v>172</v>
      </c>
      <c r="L22" s="2" t="s">
        <v>173</v>
      </c>
      <c r="M22" s="2" t="s">
        <v>26</v>
      </c>
      <c r="N22" s="2" t="s">
        <v>26</v>
      </c>
      <c r="O22" s="2" t="s">
        <v>26</v>
      </c>
      <c r="P22" s="8" t="s">
        <v>11</v>
      </c>
      <c r="Q22" s="2" t="s">
        <v>26</v>
      </c>
      <c r="R22" s="2" t="s">
        <v>26</v>
      </c>
    </row>
    <row r="23" spans="1:18" x14ac:dyDescent="0.3">
      <c r="A23" s="1" t="s">
        <v>174</v>
      </c>
      <c r="B23" s="2" t="s">
        <v>175</v>
      </c>
      <c r="C23" s="2" t="s">
        <v>78</v>
      </c>
      <c r="D23" s="2" t="s">
        <v>176</v>
      </c>
      <c r="E23" s="2" t="s">
        <v>177</v>
      </c>
      <c r="F23" s="2" t="s">
        <v>178</v>
      </c>
      <c r="G23" s="2" t="s">
        <v>179</v>
      </c>
      <c r="H23" s="2" t="s">
        <v>180</v>
      </c>
      <c r="I23" s="2">
        <v>68588</v>
      </c>
      <c r="J23" s="2" t="s">
        <v>8</v>
      </c>
      <c r="K23" s="2" t="s">
        <v>181</v>
      </c>
      <c r="L23" s="2" t="s">
        <v>182</v>
      </c>
      <c r="M23" s="8" t="s">
        <v>11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</row>
    <row r="24" spans="1:18" x14ac:dyDescent="0.3">
      <c r="A24" s="1" t="s">
        <v>183</v>
      </c>
      <c r="B24" s="2" t="s">
        <v>184</v>
      </c>
      <c r="C24" s="2" t="s">
        <v>78</v>
      </c>
      <c r="D24" s="2" t="s">
        <v>185</v>
      </c>
      <c r="E24" s="2" t="s">
        <v>186</v>
      </c>
      <c r="F24" s="2"/>
      <c r="G24" s="2" t="s">
        <v>187</v>
      </c>
      <c r="H24" s="2" t="s">
        <v>7</v>
      </c>
      <c r="I24" s="2">
        <v>2148</v>
      </c>
      <c r="J24" s="2" t="s">
        <v>8</v>
      </c>
      <c r="K24" s="2" t="s">
        <v>188</v>
      </c>
      <c r="L24" s="2">
        <v>7813500912</v>
      </c>
      <c r="M24" s="8" t="s">
        <v>11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</row>
    <row r="25" spans="1:18" x14ac:dyDescent="0.3">
      <c r="A25" s="1" t="s">
        <v>189</v>
      </c>
      <c r="B25" s="2" t="s">
        <v>190</v>
      </c>
      <c r="C25" s="2" t="s">
        <v>191</v>
      </c>
      <c r="D25" s="2" t="s">
        <v>192</v>
      </c>
      <c r="E25" s="2" t="s">
        <v>193</v>
      </c>
      <c r="F25" s="2"/>
      <c r="G25" s="2" t="s">
        <v>194</v>
      </c>
      <c r="H25" s="2" t="s">
        <v>195</v>
      </c>
      <c r="I25" s="2">
        <v>11219</v>
      </c>
      <c r="J25" s="2" t="s">
        <v>8</v>
      </c>
      <c r="K25" s="2" t="s">
        <v>196</v>
      </c>
      <c r="L25" s="2">
        <v>3479332698</v>
      </c>
      <c r="M25" s="8" t="s">
        <v>11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</row>
    <row r="26" spans="1:18" x14ac:dyDescent="0.3">
      <c r="A26" s="1" t="s">
        <v>197</v>
      </c>
      <c r="B26" s="2" t="s">
        <v>198</v>
      </c>
      <c r="C26" s="2" t="s">
        <v>78</v>
      </c>
      <c r="D26" s="2" t="s">
        <v>199</v>
      </c>
      <c r="E26" s="2" t="s">
        <v>200</v>
      </c>
      <c r="F26" s="2" t="s">
        <v>201</v>
      </c>
      <c r="G26" s="2" t="s">
        <v>202</v>
      </c>
      <c r="H26" s="2" t="s">
        <v>203</v>
      </c>
      <c r="I26" s="2">
        <v>55455</v>
      </c>
      <c r="J26" s="2" t="s">
        <v>8</v>
      </c>
      <c r="K26" s="2" t="s">
        <v>204</v>
      </c>
      <c r="L26" s="2" t="s">
        <v>205</v>
      </c>
      <c r="M26" s="8" t="s">
        <v>11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</row>
    <row r="27" spans="1:18" x14ac:dyDescent="0.3">
      <c r="A27" s="1" t="s">
        <v>206</v>
      </c>
      <c r="B27" s="2" t="s">
        <v>207</v>
      </c>
      <c r="C27" s="2" t="s">
        <v>29</v>
      </c>
      <c r="D27" s="2" t="s">
        <v>208</v>
      </c>
      <c r="E27" s="2" t="s">
        <v>209</v>
      </c>
      <c r="F27" s="2" t="s">
        <v>210</v>
      </c>
      <c r="G27" s="2" t="s">
        <v>211</v>
      </c>
      <c r="H27" s="2" t="s">
        <v>74</v>
      </c>
      <c r="I27" s="2" t="s">
        <v>212</v>
      </c>
      <c r="J27" s="2" t="s">
        <v>213</v>
      </c>
      <c r="K27" s="2" t="s">
        <v>214</v>
      </c>
      <c r="L27" s="2">
        <v>351966239352</v>
      </c>
      <c r="M27" s="2" t="s">
        <v>26</v>
      </c>
      <c r="N27" s="2" t="s">
        <v>26</v>
      </c>
      <c r="O27" s="2" t="s">
        <v>26</v>
      </c>
      <c r="P27" s="2" t="s">
        <v>26</v>
      </c>
      <c r="Q27" s="8" t="s">
        <v>11</v>
      </c>
      <c r="R27" s="2" t="s">
        <v>26</v>
      </c>
    </row>
    <row r="28" spans="1:18" x14ac:dyDescent="0.3">
      <c r="A28" s="1" t="s">
        <v>215</v>
      </c>
      <c r="B28" s="2" t="s">
        <v>216</v>
      </c>
      <c r="C28" s="2" t="s">
        <v>29</v>
      </c>
      <c r="D28" s="2" t="s">
        <v>217</v>
      </c>
      <c r="E28" s="2" t="s">
        <v>218</v>
      </c>
      <c r="F28" s="2"/>
      <c r="G28" s="2" t="s">
        <v>219</v>
      </c>
      <c r="H28" s="2" t="s">
        <v>74</v>
      </c>
      <c r="I28" s="2">
        <v>700050</v>
      </c>
      <c r="J28" s="2" t="s">
        <v>36</v>
      </c>
      <c r="K28" s="2" t="s">
        <v>220</v>
      </c>
      <c r="L28" s="2">
        <v>918335071779</v>
      </c>
      <c r="M28" s="2" t="s">
        <v>26</v>
      </c>
      <c r="N28" s="2" t="s">
        <v>26</v>
      </c>
      <c r="O28" s="8" t="s">
        <v>11</v>
      </c>
      <c r="P28" s="2" t="s">
        <v>26</v>
      </c>
      <c r="Q28" s="2" t="s">
        <v>26</v>
      </c>
      <c r="R28" s="2" t="s">
        <v>26</v>
      </c>
    </row>
    <row r="29" spans="1:18" x14ac:dyDescent="0.3">
      <c r="A29" s="1" t="s">
        <v>221</v>
      </c>
      <c r="B29" s="2" t="s">
        <v>222</v>
      </c>
      <c r="C29" s="2" t="s">
        <v>223</v>
      </c>
      <c r="D29" s="2" t="s">
        <v>224</v>
      </c>
      <c r="E29" s="2" t="s">
        <v>225</v>
      </c>
      <c r="F29" s="2"/>
      <c r="G29" s="2" t="s">
        <v>226</v>
      </c>
      <c r="H29" s="2" t="s">
        <v>7</v>
      </c>
      <c r="I29" s="2">
        <v>2492</v>
      </c>
      <c r="J29" s="2" t="s">
        <v>8</v>
      </c>
      <c r="K29" s="2" t="s">
        <v>227</v>
      </c>
      <c r="L29" s="2" t="s">
        <v>228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</row>
    <row r="30" spans="1:18" x14ac:dyDescent="0.3">
      <c r="A30" s="1" t="s">
        <v>229</v>
      </c>
      <c r="B30" s="2" t="s">
        <v>230</v>
      </c>
      <c r="C30" s="2" t="s">
        <v>231</v>
      </c>
      <c r="D30" s="2" t="s">
        <v>232</v>
      </c>
      <c r="E30" s="2" t="s">
        <v>233</v>
      </c>
      <c r="F30" s="2"/>
      <c r="G30" s="2" t="s">
        <v>234</v>
      </c>
      <c r="H30" s="2" t="s">
        <v>74</v>
      </c>
      <c r="I30" s="2">
        <v>42113</v>
      </c>
      <c r="J30" s="2" t="s">
        <v>235</v>
      </c>
      <c r="K30" s="2" t="s">
        <v>236</v>
      </c>
      <c r="L30" s="2">
        <f>49-173-4161531</f>
        <v>-4161655</v>
      </c>
      <c r="M30" s="2" t="s">
        <v>26</v>
      </c>
      <c r="N30" s="2" t="s">
        <v>26</v>
      </c>
      <c r="O30" s="2" t="s">
        <v>26</v>
      </c>
      <c r="P30" s="8" t="s">
        <v>11</v>
      </c>
      <c r="Q30" s="2" t="s">
        <v>26</v>
      </c>
      <c r="R30" s="2" t="s">
        <v>26</v>
      </c>
    </row>
    <row r="31" spans="1:18" x14ac:dyDescent="0.3">
      <c r="A31" s="1" t="s">
        <v>229</v>
      </c>
      <c r="B31" s="2" t="s">
        <v>237</v>
      </c>
      <c r="C31" s="2" t="s">
        <v>238</v>
      </c>
      <c r="D31" s="2" t="s">
        <v>239</v>
      </c>
      <c r="E31" s="2" t="s">
        <v>240</v>
      </c>
      <c r="F31" s="2"/>
      <c r="G31" s="2" t="s">
        <v>241</v>
      </c>
      <c r="H31" s="2" t="s">
        <v>242</v>
      </c>
      <c r="I31" s="2">
        <v>84103</v>
      </c>
      <c r="J31" s="2" t="s">
        <v>8</v>
      </c>
      <c r="K31" s="2" t="s">
        <v>243</v>
      </c>
      <c r="L31" s="2">
        <v>5037055993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8" t="s">
        <v>11</v>
      </c>
    </row>
    <row r="32" spans="1:18" x14ac:dyDescent="0.3">
      <c r="A32" s="1" t="s">
        <v>245</v>
      </c>
      <c r="B32" s="2" t="s">
        <v>246</v>
      </c>
      <c r="C32" s="2" t="s">
        <v>78</v>
      </c>
      <c r="D32" s="2" t="s">
        <v>247</v>
      </c>
      <c r="E32" s="2" t="s">
        <v>248</v>
      </c>
      <c r="F32" s="2"/>
      <c r="G32" s="2" t="s">
        <v>249</v>
      </c>
      <c r="H32" s="2" t="s">
        <v>250</v>
      </c>
      <c r="I32" s="2">
        <v>75252</v>
      </c>
      <c r="J32" s="2" t="s">
        <v>8</v>
      </c>
      <c r="K32" s="2" t="s">
        <v>251</v>
      </c>
      <c r="L32" s="2">
        <v>9492853305</v>
      </c>
      <c r="M32" s="8" t="s">
        <v>11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</row>
    <row r="33" spans="1:18" x14ac:dyDescent="0.3">
      <c r="A33" s="1" t="s">
        <v>245</v>
      </c>
      <c r="B33" s="2" t="s">
        <v>252</v>
      </c>
      <c r="C33" s="2" t="s">
        <v>253</v>
      </c>
      <c r="D33" s="2" t="s">
        <v>254</v>
      </c>
      <c r="E33" s="2" t="s">
        <v>255</v>
      </c>
      <c r="F33" s="2"/>
      <c r="G33" s="2" t="s">
        <v>256</v>
      </c>
      <c r="H33" s="2" t="s">
        <v>74</v>
      </c>
      <c r="I33" s="2" t="s">
        <v>257</v>
      </c>
      <c r="J33" s="2" t="s">
        <v>258</v>
      </c>
      <c r="K33" s="2" t="s">
        <v>259</v>
      </c>
      <c r="L33" s="2">
        <v>7970818676</v>
      </c>
      <c r="M33" s="2" t="s">
        <v>26</v>
      </c>
      <c r="N33" s="2" t="s">
        <v>26</v>
      </c>
      <c r="O33" s="2" t="s">
        <v>26</v>
      </c>
      <c r="P33" s="2" t="s">
        <v>26</v>
      </c>
      <c r="Q33" s="8" t="s">
        <v>11</v>
      </c>
      <c r="R33" s="2" t="s">
        <v>26</v>
      </c>
    </row>
    <row r="34" spans="1:18" x14ac:dyDescent="0.3">
      <c r="A34" s="1" t="s">
        <v>245</v>
      </c>
      <c r="B34" s="2" t="s">
        <v>260</v>
      </c>
      <c r="C34" s="2" t="s">
        <v>78</v>
      </c>
      <c r="D34" s="2" t="s">
        <v>261</v>
      </c>
      <c r="E34" s="2" t="s">
        <v>262</v>
      </c>
      <c r="F34" s="2"/>
      <c r="G34" s="2" t="s">
        <v>263</v>
      </c>
      <c r="H34" s="2" t="s">
        <v>264</v>
      </c>
      <c r="I34" s="2">
        <v>97214</v>
      </c>
      <c r="J34" s="2" t="s">
        <v>8</v>
      </c>
      <c r="K34" s="2" t="s">
        <v>265</v>
      </c>
      <c r="L34" s="2">
        <v>3107704322</v>
      </c>
      <c r="M34" s="8" t="s">
        <v>11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</row>
    <row r="35" spans="1:18" x14ac:dyDescent="0.3">
      <c r="A35" s="1" t="s">
        <v>245</v>
      </c>
      <c r="B35" s="2" t="s">
        <v>266</v>
      </c>
      <c r="C35" s="2" t="s">
        <v>267</v>
      </c>
      <c r="D35" s="2" t="s">
        <v>239</v>
      </c>
      <c r="E35" s="2" t="s">
        <v>268</v>
      </c>
      <c r="F35" s="2"/>
      <c r="G35" s="2" t="s">
        <v>241</v>
      </c>
      <c r="H35" s="2" t="s">
        <v>242</v>
      </c>
      <c r="I35" s="2">
        <v>84112</v>
      </c>
      <c r="J35" s="2" t="s">
        <v>8</v>
      </c>
      <c r="K35" s="2" t="s">
        <v>269</v>
      </c>
      <c r="L35" s="2">
        <v>15625371711</v>
      </c>
      <c r="M35" s="2" t="s">
        <v>26</v>
      </c>
      <c r="N35" s="2" t="s">
        <v>26</v>
      </c>
      <c r="O35" s="2" t="s">
        <v>26</v>
      </c>
      <c r="P35" s="2" t="s">
        <v>26</v>
      </c>
      <c r="Q35" s="8" t="s">
        <v>11</v>
      </c>
      <c r="R35" s="2" t="s">
        <v>26</v>
      </c>
    </row>
    <row r="36" spans="1:18" x14ac:dyDescent="0.3">
      <c r="A36" s="1" t="s">
        <v>270</v>
      </c>
      <c r="B36" s="2" t="s">
        <v>271</v>
      </c>
      <c r="C36" s="2" t="s">
        <v>253</v>
      </c>
      <c r="D36" s="2" t="s">
        <v>272</v>
      </c>
      <c r="E36" s="2" t="s">
        <v>273</v>
      </c>
      <c r="F36" s="2" t="s">
        <v>272</v>
      </c>
      <c r="G36" s="2" t="s">
        <v>274</v>
      </c>
      <c r="H36" s="2" t="s">
        <v>74</v>
      </c>
      <c r="I36" s="2" t="s">
        <v>275</v>
      </c>
      <c r="J36" s="2" t="s">
        <v>258</v>
      </c>
      <c r="K36" s="2" t="s">
        <v>276</v>
      </c>
      <c r="L36" s="2" t="s">
        <v>277</v>
      </c>
      <c r="M36" s="2" t="s">
        <v>26</v>
      </c>
      <c r="N36" s="2" t="s">
        <v>26</v>
      </c>
      <c r="O36" s="2" t="s">
        <v>26</v>
      </c>
      <c r="P36" s="2" t="s">
        <v>26</v>
      </c>
      <c r="Q36" s="8" t="s">
        <v>11</v>
      </c>
      <c r="R36" s="2" t="s">
        <v>26</v>
      </c>
    </row>
    <row r="37" spans="1:18" x14ac:dyDescent="0.3">
      <c r="A37" s="1" t="s">
        <v>278</v>
      </c>
      <c r="B37" s="2" t="s">
        <v>279</v>
      </c>
      <c r="C37" s="2" t="s">
        <v>280</v>
      </c>
      <c r="D37" s="2" t="s">
        <v>122</v>
      </c>
      <c r="E37" s="2" t="s">
        <v>281</v>
      </c>
      <c r="F37" s="2"/>
      <c r="G37" s="2" t="s">
        <v>124</v>
      </c>
      <c r="H37" s="2" t="s">
        <v>125</v>
      </c>
      <c r="I37" s="2">
        <v>60657</v>
      </c>
      <c r="J37" s="2" t="s">
        <v>8</v>
      </c>
      <c r="K37" s="2" t="s">
        <v>282</v>
      </c>
      <c r="L37" s="2">
        <v>9494336367</v>
      </c>
      <c r="M37" s="2" t="s">
        <v>26</v>
      </c>
      <c r="N37" s="2" t="s">
        <v>26</v>
      </c>
      <c r="O37" s="2" t="s">
        <v>26</v>
      </c>
      <c r="P37" s="2" t="s">
        <v>26</v>
      </c>
      <c r="Q37" s="8" t="s">
        <v>11</v>
      </c>
      <c r="R37" s="2" t="s">
        <v>26</v>
      </c>
    </row>
    <row r="38" spans="1:18" x14ac:dyDescent="0.3">
      <c r="A38" s="1" t="s">
        <v>283</v>
      </c>
      <c r="B38" s="2" t="s">
        <v>284</v>
      </c>
      <c r="C38" s="2" t="s">
        <v>29</v>
      </c>
      <c r="D38" s="2" t="s">
        <v>285</v>
      </c>
      <c r="E38" s="2" t="s">
        <v>286</v>
      </c>
      <c r="F38" s="2"/>
      <c r="G38" s="2" t="s">
        <v>6</v>
      </c>
      <c r="H38" s="2" t="s">
        <v>7</v>
      </c>
      <c r="I38" s="2">
        <v>2140</v>
      </c>
      <c r="J38" s="2" t="s">
        <v>8</v>
      </c>
      <c r="K38" s="2" t="s">
        <v>287</v>
      </c>
      <c r="L38" s="2">
        <v>6179594696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</row>
    <row r="39" spans="1:18" x14ac:dyDescent="0.3">
      <c r="A39" s="1" t="s">
        <v>288</v>
      </c>
      <c r="B39" s="2" t="s">
        <v>289</v>
      </c>
      <c r="C39" s="2" t="s">
        <v>70</v>
      </c>
      <c r="D39" s="2" t="s">
        <v>290</v>
      </c>
      <c r="E39" s="2" t="s">
        <v>291</v>
      </c>
      <c r="F39" s="2">
        <v>1106</v>
      </c>
      <c r="G39" s="2" t="s">
        <v>292</v>
      </c>
      <c r="H39" s="2" t="s">
        <v>293</v>
      </c>
      <c r="I39" s="2" t="s">
        <v>294</v>
      </c>
      <c r="J39" s="2" t="s">
        <v>98</v>
      </c>
      <c r="K39" s="2" t="s">
        <v>295</v>
      </c>
      <c r="L39" s="2">
        <v>7808077406</v>
      </c>
      <c r="M39" s="8" t="s">
        <v>11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</row>
    <row r="40" spans="1:18" x14ac:dyDescent="0.3">
      <c r="A40" s="1" t="s">
        <v>296</v>
      </c>
      <c r="B40" s="2" t="s">
        <v>297</v>
      </c>
      <c r="C40" s="2" t="s">
        <v>298</v>
      </c>
      <c r="D40" s="2" t="s">
        <v>299</v>
      </c>
      <c r="E40" s="2" t="s">
        <v>300</v>
      </c>
      <c r="F40" s="2"/>
      <c r="G40" s="2" t="s">
        <v>301</v>
      </c>
      <c r="H40" s="2" t="s">
        <v>302</v>
      </c>
      <c r="I40" s="2">
        <v>89503</v>
      </c>
      <c r="J40" s="2" t="s">
        <v>8</v>
      </c>
      <c r="K40" s="2" t="s">
        <v>303</v>
      </c>
      <c r="L40" s="2">
        <v>7754472073</v>
      </c>
      <c r="M40" s="8" t="s">
        <v>11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</row>
    <row r="41" spans="1:18" x14ac:dyDescent="0.3">
      <c r="A41" s="1" t="s">
        <v>304</v>
      </c>
      <c r="B41" s="2" t="s">
        <v>305</v>
      </c>
      <c r="C41" s="2" t="s">
        <v>306</v>
      </c>
      <c r="D41" s="2" t="s">
        <v>307</v>
      </c>
      <c r="E41" s="2" t="s">
        <v>308</v>
      </c>
      <c r="F41" s="2" t="s">
        <v>309</v>
      </c>
      <c r="G41" s="2" t="s">
        <v>310</v>
      </c>
      <c r="H41" s="2" t="s">
        <v>34</v>
      </c>
      <c r="I41" s="2">
        <v>46221</v>
      </c>
      <c r="J41" s="2" t="s">
        <v>8</v>
      </c>
      <c r="K41" s="2" t="s">
        <v>311</v>
      </c>
      <c r="L41" s="2">
        <v>3172961391</v>
      </c>
      <c r="M41" s="2" t="s">
        <v>26</v>
      </c>
      <c r="N41" s="2" t="s">
        <v>26</v>
      </c>
      <c r="O41" s="2" t="s">
        <v>26</v>
      </c>
      <c r="P41" s="8" t="s">
        <v>11</v>
      </c>
      <c r="Q41" s="2" t="s">
        <v>26</v>
      </c>
      <c r="R41" s="2" t="s">
        <v>26</v>
      </c>
    </row>
    <row r="42" spans="1:18" x14ac:dyDescent="0.3">
      <c r="A42" s="1" t="s">
        <v>312</v>
      </c>
      <c r="B42" s="2" t="s">
        <v>313</v>
      </c>
      <c r="C42" s="2" t="s">
        <v>314</v>
      </c>
      <c r="D42" s="2" t="s">
        <v>315</v>
      </c>
      <c r="E42" s="2" t="s">
        <v>316</v>
      </c>
      <c r="F42" s="2"/>
      <c r="G42" s="2" t="s">
        <v>317</v>
      </c>
      <c r="H42" s="2" t="s">
        <v>318</v>
      </c>
      <c r="I42" s="2">
        <v>48109</v>
      </c>
      <c r="J42" s="2" t="s">
        <v>8</v>
      </c>
      <c r="K42" s="2" t="s">
        <v>319</v>
      </c>
      <c r="L42" s="2">
        <v>7346156862</v>
      </c>
      <c r="M42" s="2" t="s">
        <v>26</v>
      </c>
      <c r="N42" s="2" t="s">
        <v>26</v>
      </c>
      <c r="O42" s="2" t="s">
        <v>26</v>
      </c>
      <c r="P42" s="2" t="s">
        <v>26</v>
      </c>
      <c r="Q42" s="8" t="s">
        <v>11</v>
      </c>
      <c r="R42" s="2" t="s">
        <v>26</v>
      </c>
    </row>
    <row r="43" spans="1:18" x14ac:dyDescent="0.3">
      <c r="A43" s="1" t="s">
        <v>320</v>
      </c>
      <c r="B43" s="2" t="s">
        <v>321</v>
      </c>
      <c r="C43" s="2" t="s">
        <v>253</v>
      </c>
      <c r="D43" s="2" t="s">
        <v>322</v>
      </c>
      <c r="E43" s="2" t="s">
        <v>323</v>
      </c>
      <c r="F43" s="2"/>
      <c r="G43" s="2" t="s">
        <v>324</v>
      </c>
      <c r="H43" s="2" t="s">
        <v>74</v>
      </c>
      <c r="I43" s="2">
        <v>50019</v>
      </c>
      <c r="J43" s="2" t="s">
        <v>325</v>
      </c>
      <c r="K43" s="2" t="s">
        <v>326</v>
      </c>
      <c r="L43" s="2">
        <v>393478844146</v>
      </c>
      <c r="M43" s="2" t="s">
        <v>26</v>
      </c>
      <c r="N43" s="2" t="s">
        <v>26</v>
      </c>
      <c r="O43" s="2" t="s">
        <v>26</v>
      </c>
      <c r="P43" s="2" t="s">
        <v>26</v>
      </c>
      <c r="Q43" s="8" t="s">
        <v>11</v>
      </c>
      <c r="R43" s="2" t="s">
        <v>26</v>
      </c>
    </row>
    <row r="44" spans="1:18" x14ac:dyDescent="0.3">
      <c r="A44" s="1" t="s">
        <v>327</v>
      </c>
      <c r="B44" s="2" t="s">
        <v>328</v>
      </c>
      <c r="C44" s="2" t="s">
        <v>329</v>
      </c>
      <c r="D44" s="2" t="s">
        <v>330</v>
      </c>
      <c r="E44" s="2" t="s">
        <v>331</v>
      </c>
      <c r="F44" s="2"/>
      <c r="G44" s="2" t="s">
        <v>332</v>
      </c>
      <c r="H44" s="2" t="s">
        <v>17</v>
      </c>
      <c r="I44" s="2">
        <v>90049</v>
      </c>
      <c r="J44" s="2" t="s">
        <v>8</v>
      </c>
      <c r="K44" s="2" t="s">
        <v>333</v>
      </c>
      <c r="L44" s="2">
        <v>9144092759</v>
      </c>
      <c r="M44" s="2" t="s">
        <v>26</v>
      </c>
      <c r="N44" s="2" t="s">
        <v>26</v>
      </c>
      <c r="O44" s="2" t="s">
        <v>26</v>
      </c>
      <c r="P44" s="8" t="s">
        <v>11</v>
      </c>
      <c r="Q44" s="2" t="s">
        <v>26</v>
      </c>
      <c r="R44" s="2" t="s">
        <v>26</v>
      </c>
    </row>
    <row r="45" spans="1:18" x14ac:dyDescent="0.3">
      <c r="A45" s="1" t="s">
        <v>334</v>
      </c>
      <c r="B45" s="2" t="s">
        <v>335</v>
      </c>
      <c r="C45" s="2" t="s">
        <v>253</v>
      </c>
      <c r="D45" s="2" t="s">
        <v>336</v>
      </c>
      <c r="E45" s="2" t="s">
        <v>337</v>
      </c>
      <c r="F45" s="2"/>
      <c r="G45" s="2" t="s">
        <v>338</v>
      </c>
      <c r="H45" s="2" t="s">
        <v>74</v>
      </c>
      <c r="I45" s="2">
        <v>85354</v>
      </c>
      <c r="J45" s="2" t="s">
        <v>235</v>
      </c>
      <c r="K45" s="2" t="s">
        <v>339</v>
      </c>
      <c r="L45" s="2">
        <f>49-8161-713542</f>
        <v>-721654</v>
      </c>
      <c r="M45" s="2" t="s">
        <v>26</v>
      </c>
      <c r="N45" s="2" t="s">
        <v>26</v>
      </c>
      <c r="O45" s="2" t="s">
        <v>26</v>
      </c>
      <c r="P45" s="2" t="s">
        <v>26</v>
      </c>
      <c r="Q45" s="8" t="s">
        <v>11</v>
      </c>
      <c r="R45" s="2" t="s">
        <v>26</v>
      </c>
    </row>
    <row r="46" spans="1:18" x14ac:dyDescent="0.3">
      <c r="A46" s="1" t="s">
        <v>340</v>
      </c>
      <c r="B46" s="2" t="s">
        <v>341</v>
      </c>
      <c r="C46" s="2" t="s">
        <v>342</v>
      </c>
      <c r="D46" s="2" t="s">
        <v>343</v>
      </c>
      <c r="E46" s="2" t="s">
        <v>344</v>
      </c>
      <c r="F46" s="2" t="s">
        <v>345</v>
      </c>
      <c r="G46" s="2" t="s">
        <v>346</v>
      </c>
      <c r="H46" s="2" t="s">
        <v>347</v>
      </c>
      <c r="I46" s="2">
        <v>53706</v>
      </c>
      <c r="J46" s="2" t="s">
        <v>8</v>
      </c>
      <c r="K46" s="2" t="s">
        <v>348</v>
      </c>
      <c r="L46" s="2">
        <v>4159023343</v>
      </c>
      <c r="M46" s="2" t="s">
        <v>26</v>
      </c>
      <c r="N46" s="2" t="s">
        <v>26</v>
      </c>
      <c r="O46" s="8" t="s">
        <v>11</v>
      </c>
      <c r="P46" s="2" t="s">
        <v>26</v>
      </c>
      <c r="Q46" s="2" t="s">
        <v>26</v>
      </c>
      <c r="R46" s="2" t="s">
        <v>26</v>
      </c>
    </row>
    <row r="47" spans="1:18" x14ac:dyDescent="0.3">
      <c r="A47" s="1" t="s">
        <v>349</v>
      </c>
      <c r="B47" s="2" t="s">
        <v>350</v>
      </c>
      <c r="C47" s="2" t="s">
        <v>351</v>
      </c>
      <c r="D47" s="2" t="s">
        <v>352</v>
      </c>
      <c r="E47" s="2" t="s">
        <v>353</v>
      </c>
      <c r="F47" s="2"/>
      <c r="G47" s="2" t="s">
        <v>354</v>
      </c>
      <c r="H47" s="2" t="s">
        <v>17</v>
      </c>
      <c r="I47" s="2">
        <v>91320</v>
      </c>
      <c r="J47" s="2" t="s">
        <v>8</v>
      </c>
      <c r="K47" s="2" t="s">
        <v>355</v>
      </c>
      <c r="L47" s="2">
        <v>8057958366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8" t="s">
        <v>11</v>
      </c>
    </row>
    <row r="48" spans="1:18" x14ac:dyDescent="0.3">
      <c r="A48" s="1" t="s">
        <v>356</v>
      </c>
      <c r="B48" s="2" t="s">
        <v>357</v>
      </c>
      <c r="C48" s="2" t="s">
        <v>358</v>
      </c>
      <c r="D48" s="2" t="s">
        <v>359</v>
      </c>
      <c r="E48" s="2" t="s">
        <v>360</v>
      </c>
      <c r="F48" s="2"/>
      <c r="G48" s="2" t="s">
        <v>361</v>
      </c>
      <c r="H48" s="2" t="s">
        <v>17</v>
      </c>
      <c r="I48" s="2">
        <v>91101</v>
      </c>
      <c r="J48" s="2" t="s">
        <v>8</v>
      </c>
      <c r="K48" s="2" t="s">
        <v>362</v>
      </c>
      <c r="L48" s="2">
        <v>3109108219</v>
      </c>
      <c r="M48" s="2" t="s">
        <v>26</v>
      </c>
      <c r="N48" s="2" t="s">
        <v>26</v>
      </c>
      <c r="O48" s="2" t="s">
        <v>26</v>
      </c>
      <c r="P48" s="8" t="s">
        <v>11</v>
      </c>
      <c r="Q48" s="2" t="s">
        <v>26</v>
      </c>
      <c r="R48" s="2" t="s">
        <v>26</v>
      </c>
    </row>
    <row r="49" spans="1:18" x14ac:dyDescent="0.3">
      <c r="A49" s="1" t="s">
        <v>363</v>
      </c>
      <c r="B49" s="2" t="s">
        <v>364</v>
      </c>
      <c r="C49" s="2" t="s">
        <v>365</v>
      </c>
      <c r="D49" s="2" t="s">
        <v>366</v>
      </c>
      <c r="E49" s="2" t="s">
        <v>367</v>
      </c>
      <c r="F49" s="2"/>
      <c r="G49" s="2" t="s">
        <v>368</v>
      </c>
      <c r="H49" s="2" t="s">
        <v>195</v>
      </c>
      <c r="I49" s="2">
        <v>10992</v>
      </c>
      <c r="J49" s="2" t="s">
        <v>8</v>
      </c>
      <c r="K49" s="2" t="s">
        <v>369</v>
      </c>
      <c r="L49" s="2" t="s">
        <v>370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8" t="s">
        <v>11</v>
      </c>
    </row>
    <row r="50" spans="1:18" x14ac:dyDescent="0.3">
      <c r="A50" s="1" t="s">
        <v>363</v>
      </c>
      <c r="B50" s="2" t="s">
        <v>371</v>
      </c>
      <c r="C50" s="2" t="s">
        <v>244</v>
      </c>
      <c r="D50" s="2" t="s">
        <v>372</v>
      </c>
      <c r="E50" s="2" t="s">
        <v>373</v>
      </c>
      <c r="F50" s="2"/>
      <c r="G50" s="2" t="s">
        <v>374</v>
      </c>
      <c r="H50" s="2" t="s">
        <v>17</v>
      </c>
      <c r="I50" s="2">
        <v>92831</v>
      </c>
      <c r="J50" s="2" t="s">
        <v>8</v>
      </c>
      <c r="K50" s="2" t="s">
        <v>375</v>
      </c>
      <c r="L50" s="2">
        <v>6572784256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8" t="s">
        <v>11</v>
      </c>
    </row>
    <row r="51" spans="1:18" x14ac:dyDescent="0.3">
      <c r="A51" s="1" t="s">
        <v>376</v>
      </c>
      <c r="B51" s="2" t="s">
        <v>377</v>
      </c>
      <c r="C51" s="2" t="s">
        <v>378</v>
      </c>
      <c r="D51" s="2" t="s">
        <v>379</v>
      </c>
      <c r="E51" s="2" t="s">
        <v>380</v>
      </c>
      <c r="F51" s="2"/>
      <c r="G51" s="2" t="s">
        <v>16</v>
      </c>
      <c r="H51" s="2" t="s">
        <v>17</v>
      </c>
      <c r="I51" s="2">
        <v>92121</v>
      </c>
      <c r="J51" s="2" t="s">
        <v>8</v>
      </c>
      <c r="K51" s="2" t="s">
        <v>381</v>
      </c>
      <c r="L51" s="2" t="s">
        <v>382</v>
      </c>
      <c r="M51" s="2" t="s">
        <v>26</v>
      </c>
      <c r="N51" s="2" t="s">
        <v>26</v>
      </c>
      <c r="O51" s="2" t="s">
        <v>26</v>
      </c>
      <c r="P51" s="8" t="s">
        <v>11</v>
      </c>
      <c r="Q51" s="2" t="s">
        <v>26</v>
      </c>
      <c r="R51" s="2" t="s">
        <v>26</v>
      </c>
    </row>
    <row r="52" spans="1:18" x14ac:dyDescent="0.3">
      <c r="A52" s="1" t="s">
        <v>383</v>
      </c>
      <c r="B52" s="2" t="s">
        <v>384</v>
      </c>
      <c r="C52" s="2" t="s">
        <v>385</v>
      </c>
      <c r="D52" s="2" t="s">
        <v>386</v>
      </c>
      <c r="E52" s="2" t="s">
        <v>387</v>
      </c>
      <c r="F52" s="2" t="s">
        <v>388</v>
      </c>
      <c r="G52" s="2" t="s">
        <v>389</v>
      </c>
      <c r="H52" s="2" t="s">
        <v>34</v>
      </c>
      <c r="I52" s="2">
        <v>47906</v>
      </c>
      <c r="J52" s="2" t="s">
        <v>8</v>
      </c>
      <c r="K52" s="2" t="s">
        <v>390</v>
      </c>
      <c r="L52" s="2">
        <v>7657469568</v>
      </c>
      <c r="M52" s="8" t="s">
        <v>11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</row>
    <row r="53" spans="1:18" x14ac:dyDescent="0.3">
      <c r="A53" s="1" t="s">
        <v>391</v>
      </c>
      <c r="B53" s="2" t="s">
        <v>392</v>
      </c>
      <c r="C53" s="2" t="s">
        <v>139</v>
      </c>
      <c r="D53" s="2" t="s">
        <v>393</v>
      </c>
      <c r="E53" s="2" t="s">
        <v>394</v>
      </c>
      <c r="F53" s="2"/>
      <c r="G53" s="2" t="s">
        <v>395</v>
      </c>
      <c r="H53" s="2" t="s">
        <v>7</v>
      </c>
      <c r="I53" s="2">
        <v>2130</v>
      </c>
      <c r="J53" s="2" t="s">
        <v>8</v>
      </c>
      <c r="K53" s="2" t="s">
        <v>396</v>
      </c>
      <c r="L53" s="2">
        <v>6144463935</v>
      </c>
      <c r="M53" s="2" t="s">
        <v>26</v>
      </c>
      <c r="N53" s="2" t="s">
        <v>26</v>
      </c>
      <c r="O53" s="2" t="s">
        <v>26</v>
      </c>
      <c r="P53" s="8" t="s">
        <v>11</v>
      </c>
      <c r="Q53" s="2" t="s">
        <v>26</v>
      </c>
      <c r="R53" s="2" t="s">
        <v>26</v>
      </c>
    </row>
    <row r="54" spans="1:18" x14ac:dyDescent="0.3">
      <c r="A54" s="1" t="s">
        <v>397</v>
      </c>
      <c r="B54" s="2" t="s">
        <v>398</v>
      </c>
      <c r="C54" s="2" t="s">
        <v>399</v>
      </c>
      <c r="D54" s="2" t="s">
        <v>400</v>
      </c>
      <c r="E54" s="2" t="s">
        <v>401</v>
      </c>
      <c r="F54" s="2" t="s">
        <v>401</v>
      </c>
      <c r="G54" s="2" t="s">
        <v>402</v>
      </c>
      <c r="H54" s="2" t="s">
        <v>403</v>
      </c>
      <c r="I54" s="2">
        <v>28269</v>
      </c>
      <c r="J54" s="2" t="s">
        <v>8</v>
      </c>
      <c r="K54" s="2" t="s">
        <v>404</v>
      </c>
      <c r="L54" s="2">
        <v>7044921606</v>
      </c>
      <c r="M54" s="2" t="s">
        <v>26</v>
      </c>
      <c r="N54" s="2" t="s">
        <v>26</v>
      </c>
      <c r="O54" s="2" t="s">
        <v>26</v>
      </c>
      <c r="P54" s="8" t="s">
        <v>11</v>
      </c>
      <c r="Q54" s="2" t="s">
        <v>26</v>
      </c>
      <c r="R54" s="2" t="s">
        <v>26</v>
      </c>
    </row>
    <row r="55" spans="1:18" x14ac:dyDescent="0.3">
      <c r="A55" s="1" t="s">
        <v>405</v>
      </c>
      <c r="B55" s="2" t="s">
        <v>406</v>
      </c>
      <c r="C55" s="2" t="s">
        <v>407</v>
      </c>
      <c r="D55" s="2" t="s">
        <v>30</v>
      </c>
      <c r="E55" s="2" t="s">
        <v>408</v>
      </c>
      <c r="F55" s="2"/>
      <c r="G55" s="2" t="s">
        <v>409</v>
      </c>
      <c r="H55" s="2" t="s">
        <v>34</v>
      </c>
      <c r="I55" s="2">
        <v>46545</v>
      </c>
      <c r="J55" s="2" t="s">
        <v>8</v>
      </c>
      <c r="K55" s="2" t="s">
        <v>410</v>
      </c>
      <c r="L55" s="2">
        <v>6152997274</v>
      </c>
      <c r="M55" s="8" t="s">
        <v>11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</row>
    <row r="56" spans="1:18" x14ac:dyDescent="0.3">
      <c r="A56" s="1" t="s">
        <v>411</v>
      </c>
      <c r="B56" s="2" t="s">
        <v>412</v>
      </c>
      <c r="C56" s="2" t="s">
        <v>253</v>
      </c>
      <c r="D56" s="2" t="s">
        <v>413</v>
      </c>
      <c r="E56" s="2" t="s">
        <v>414</v>
      </c>
      <c r="F56" s="2"/>
      <c r="G56" s="2" t="s">
        <v>415</v>
      </c>
      <c r="H56" s="2" t="s">
        <v>74</v>
      </c>
      <c r="I56" s="2" t="s">
        <v>416</v>
      </c>
      <c r="J56" s="2" t="s">
        <v>417</v>
      </c>
      <c r="K56" s="2" t="s">
        <v>418</v>
      </c>
      <c r="L56" s="2">
        <f>81-90-9562-6435</f>
        <v>-16006</v>
      </c>
      <c r="M56" s="2" t="s">
        <v>26</v>
      </c>
      <c r="N56" s="2" t="s">
        <v>26</v>
      </c>
      <c r="O56" s="2" t="s">
        <v>26</v>
      </c>
      <c r="P56" s="2" t="s">
        <v>26</v>
      </c>
      <c r="Q56" s="8" t="s">
        <v>11</v>
      </c>
      <c r="R56" s="2" t="s">
        <v>26</v>
      </c>
    </row>
    <row r="57" spans="1:18" x14ac:dyDescent="0.3">
      <c r="A57" s="1" t="s">
        <v>419</v>
      </c>
      <c r="B57" s="2" t="s">
        <v>420</v>
      </c>
      <c r="C57" s="2" t="s">
        <v>421</v>
      </c>
      <c r="D57" s="2" t="s">
        <v>422</v>
      </c>
      <c r="E57" s="2" t="s">
        <v>423</v>
      </c>
      <c r="F57" s="2"/>
      <c r="G57" s="2" t="s">
        <v>424</v>
      </c>
      <c r="H57" s="2" t="s">
        <v>17</v>
      </c>
      <c r="I57" s="2">
        <v>92618</v>
      </c>
      <c r="J57" s="2" t="s">
        <v>8</v>
      </c>
      <c r="K57" s="2" t="s">
        <v>425</v>
      </c>
      <c r="L57" s="2">
        <v>6191231234</v>
      </c>
      <c r="M57" s="2" t="s">
        <v>26</v>
      </c>
      <c r="N57" s="2" t="s">
        <v>26</v>
      </c>
      <c r="O57" s="2" t="s">
        <v>26</v>
      </c>
      <c r="P57" s="8" t="s">
        <v>11</v>
      </c>
      <c r="Q57" s="2" t="s">
        <v>26</v>
      </c>
      <c r="R57" s="2" t="s">
        <v>26</v>
      </c>
    </row>
    <row r="58" spans="1:18" x14ac:dyDescent="0.3">
      <c r="A58" s="1" t="s">
        <v>426</v>
      </c>
      <c r="B58" s="2" t="s">
        <v>427</v>
      </c>
      <c r="C58" s="2" t="s">
        <v>428</v>
      </c>
      <c r="D58" s="2" t="s">
        <v>429</v>
      </c>
      <c r="E58" s="2" t="s">
        <v>430</v>
      </c>
      <c r="F58" s="2"/>
      <c r="G58" s="2" t="s">
        <v>301</v>
      </c>
      <c r="H58" s="2" t="s">
        <v>302</v>
      </c>
      <c r="I58" s="2">
        <v>89519</v>
      </c>
      <c r="J58" s="2" t="s">
        <v>8</v>
      </c>
      <c r="K58" s="2" t="s">
        <v>431</v>
      </c>
      <c r="L58" s="2">
        <v>4158676263</v>
      </c>
      <c r="M58" s="2" t="s">
        <v>26</v>
      </c>
      <c r="N58" s="2" t="s">
        <v>26</v>
      </c>
      <c r="O58" s="2" t="s">
        <v>26</v>
      </c>
      <c r="P58" s="8" t="s">
        <v>11</v>
      </c>
      <c r="Q58" s="2" t="s">
        <v>26</v>
      </c>
      <c r="R58" s="2" t="s">
        <v>26</v>
      </c>
    </row>
    <row r="59" spans="1:18" x14ac:dyDescent="0.3">
      <c r="A59" s="1" t="s">
        <v>432</v>
      </c>
      <c r="B59" s="2" t="s">
        <v>433</v>
      </c>
      <c r="C59" s="2" t="s">
        <v>434</v>
      </c>
      <c r="D59" s="2" t="s">
        <v>435</v>
      </c>
      <c r="E59" s="2" t="s">
        <v>436</v>
      </c>
      <c r="F59" s="2"/>
      <c r="G59" s="2" t="s">
        <v>437</v>
      </c>
      <c r="H59" s="2" t="s">
        <v>17</v>
      </c>
      <c r="I59" s="2">
        <v>95035</v>
      </c>
      <c r="J59" s="2" t="s">
        <v>8</v>
      </c>
      <c r="K59" s="2" t="s">
        <v>438</v>
      </c>
      <c r="L59" s="2" t="s">
        <v>439</v>
      </c>
      <c r="M59" s="2" t="s">
        <v>26</v>
      </c>
      <c r="N59" s="2" t="s">
        <v>26</v>
      </c>
      <c r="O59" s="2" t="s">
        <v>26</v>
      </c>
      <c r="P59" s="8" t="s">
        <v>11</v>
      </c>
      <c r="Q59" s="2" t="s">
        <v>26</v>
      </c>
      <c r="R59" s="2" t="s">
        <v>26</v>
      </c>
    </row>
    <row r="60" spans="1:18" x14ac:dyDescent="0.3">
      <c r="A60" s="1" t="s">
        <v>440</v>
      </c>
      <c r="B60" s="2" t="s">
        <v>441</v>
      </c>
      <c r="C60" s="2" t="s">
        <v>442</v>
      </c>
      <c r="D60" s="2" t="s">
        <v>443</v>
      </c>
      <c r="E60" s="2" t="s">
        <v>444</v>
      </c>
      <c r="F60" s="2"/>
      <c r="G60" s="2" t="s">
        <v>445</v>
      </c>
      <c r="H60" s="2" t="s">
        <v>74</v>
      </c>
      <c r="I60" s="2">
        <v>14195</v>
      </c>
      <c r="J60" s="2" t="s">
        <v>235</v>
      </c>
      <c r="K60" s="2" t="s">
        <v>446</v>
      </c>
      <c r="L60" s="2" t="s">
        <v>447</v>
      </c>
      <c r="M60" s="2" t="s">
        <v>26</v>
      </c>
      <c r="N60" s="2" t="s">
        <v>26</v>
      </c>
      <c r="O60" s="2" t="s">
        <v>26</v>
      </c>
      <c r="P60" s="2" t="s">
        <v>26</v>
      </c>
      <c r="Q60" s="8" t="s">
        <v>11</v>
      </c>
      <c r="R60" s="2" t="s">
        <v>26</v>
      </c>
    </row>
    <row r="61" spans="1:18" x14ac:dyDescent="0.3">
      <c r="A61" s="1" t="s">
        <v>448</v>
      </c>
      <c r="B61" s="2" t="s">
        <v>449</v>
      </c>
      <c r="C61" s="2" t="s">
        <v>450</v>
      </c>
      <c r="D61" s="2" t="s">
        <v>451</v>
      </c>
      <c r="E61" s="2" t="s">
        <v>452</v>
      </c>
      <c r="F61" s="2"/>
      <c r="G61" s="2" t="s">
        <v>453</v>
      </c>
      <c r="H61" s="2" t="s">
        <v>74</v>
      </c>
      <c r="I61" s="2">
        <v>4001</v>
      </c>
      <c r="J61" s="2" t="s">
        <v>454</v>
      </c>
      <c r="K61" s="2" t="s">
        <v>455</v>
      </c>
      <c r="L61" s="2">
        <v>629201526</v>
      </c>
      <c r="M61" s="2" t="s">
        <v>26</v>
      </c>
      <c r="N61" s="2" t="s">
        <v>26</v>
      </c>
      <c r="O61" s="2" t="s">
        <v>26</v>
      </c>
      <c r="P61" s="2" t="s">
        <v>26</v>
      </c>
      <c r="Q61" s="8" t="s">
        <v>11</v>
      </c>
      <c r="R61" s="2" t="s">
        <v>26</v>
      </c>
    </row>
    <row r="62" spans="1:18" x14ac:dyDescent="0.3">
      <c r="A62" s="1" t="s">
        <v>457</v>
      </c>
      <c r="B62" s="2" t="s">
        <v>458</v>
      </c>
      <c r="C62" s="2" t="s">
        <v>459</v>
      </c>
      <c r="D62" s="2" t="s">
        <v>460</v>
      </c>
      <c r="E62" s="2" t="s">
        <v>461</v>
      </c>
      <c r="F62" s="2" t="s">
        <v>462</v>
      </c>
      <c r="G62" s="2" t="s">
        <v>463</v>
      </c>
      <c r="H62" s="2" t="s">
        <v>403</v>
      </c>
      <c r="I62" s="2">
        <v>27560</v>
      </c>
      <c r="J62" s="2" t="s">
        <v>8</v>
      </c>
      <c r="K62" s="2" t="s">
        <v>464</v>
      </c>
      <c r="L62" s="2">
        <v>9195617726</v>
      </c>
      <c r="M62" s="2" t="s">
        <v>26</v>
      </c>
      <c r="N62" s="2" t="s">
        <v>26</v>
      </c>
      <c r="O62" s="2" t="s">
        <v>26</v>
      </c>
      <c r="P62" s="8" t="s">
        <v>11</v>
      </c>
      <c r="Q62" s="2" t="s">
        <v>26</v>
      </c>
      <c r="R62" s="2" t="s">
        <v>26</v>
      </c>
    </row>
    <row r="63" spans="1:18" x14ac:dyDescent="0.3">
      <c r="A63" s="1" t="s">
        <v>465</v>
      </c>
      <c r="B63" s="2" t="s">
        <v>466</v>
      </c>
      <c r="C63" s="2" t="s">
        <v>467</v>
      </c>
      <c r="D63" s="2" t="s">
        <v>379</v>
      </c>
      <c r="E63" s="2" t="s">
        <v>380</v>
      </c>
      <c r="F63" s="2"/>
      <c r="G63" s="2" t="s">
        <v>16</v>
      </c>
      <c r="H63" s="2" t="s">
        <v>17</v>
      </c>
      <c r="I63" s="2">
        <v>92121</v>
      </c>
      <c r="J63" s="2" t="s">
        <v>8</v>
      </c>
      <c r="K63" s="2" t="s">
        <v>468</v>
      </c>
      <c r="L63" s="2" t="s">
        <v>382</v>
      </c>
      <c r="M63" s="2" t="s">
        <v>26</v>
      </c>
      <c r="N63" s="2" t="s">
        <v>26</v>
      </c>
      <c r="O63" s="2" t="s">
        <v>26</v>
      </c>
      <c r="P63" s="8" t="s">
        <v>11</v>
      </c>
      <c r="Q63" s="2" t="s">
        <v>26</v>
      </c>
      <c r="R63" s="2" t="s">
        <v>26</v>
      </c>
    </row>
    <row r="64" spans="1:18" x14ac:dyDescent="0.3">
      <c r="A64" s="1" t="s">
        <v>469</v>
      </c>
      <c r="B64" s="2" t="s">
        <v>470</v>
      </c>
      <c r="C64" s="2" t="s">
        <v>471</v>
      </c>
      <c r="D64" s="2" t="s">
        <v>472</v>
      </c>
      <c r="E64" s="2" t="s">
        <v>473</v>
      </c>
      <c r="F64" s="2"/>
      <c r="G64" s="2" t="s">
        <v>474</v>
      </c>
      <c r="H64" s="2" t="s">
        <v>475</v>
      </c>
      <c r="I64" s="2">
        <v>2061</v>
      </c>
      <c r="J64" s="2" t="s">
        <v>476</v>
      </c>
      <c r="K64" s="2" t="s">
        <v>477</v>
      </c>
      <c r="L64" s="2" t="s">
        <v>478</v>
      </c>
      <c r="M64" s="8" t="s">
        <v>11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</row>
    <row r="65" spans="1:18" x14ac:dyDescent="0.3">
      <c r="A65" s="1" t="s">
        <v>479</v>
      </c>
      <c r="B65" s="2" t="s">
        <v>480</v>
      </c>
      <c r="C65" s="2" t="s">
        <v>342</v>
      </c>
      <c r="D65" s="2" t="s">
        <v>481</v>
      </c>
      <c r="E65" s="2" t="s">
        <v>482</v>
      </c>
      <c r="F65" s="2"/>
      <c r="G65" s="2" t="s">
        <v>483</v>
      </c>
      <c r="H65" s="2" t="s">
        <v>17</v>
      </c>
      <c r="I65" s="2">
        <v>94080</v>
      </c>
      <c r="J65" s="2" t="s">
        <v>8</v>
      </c>
      <c r="K65" s="2" t="s">
        <v>484</v>
      </c>
      <c r="L65" s="2">
        <v>6503033773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</row>
    <row r="66" spans="1:18" x14ac:dyDescent="0.3">
      <c r="A66" s="1" t="s">
        <v>485</v>
      </c>
      <c r="B66" s="2" t="s">
        <v>486</v>
      </c>
      <c r="C66" s="2" t="s">
        <v>428</v>
      </c>
      <c r="D66" s="2" t="s">
        <v>429</v>
      </c>
      <c r="E66" s="2" t="s">
        <v>487</v>
      </c>
      <c r="F66" s="2"/>
      <c r="G66" s="2" t="s">
        <v>488</v>
      </c>
      <c r="H66" s="2" t="s">
        <v>489</v>
      </c>
      <c r="I66" s="2">
        <v>15102</v>
      </c>
      <c r="J66" s="2" t="s">
        <v>8</v>
      </c>
      <c r="K66" s="2" t="s">
        <v>490</v>
      </c>
      <c r="L66" s="2">
        <v>4123599850</v>
      </c>
      <c r="M66" s="2" t="s">
        <v>26</v>
      </c>
      <c r="N66" s="2" t="s">
        <v>26</v>
      </c>
      <c r="O66" s="2" t="s">
        <v>26</v>
      </c>
      <c r="P66" s="8" t="s">
        <v>11</v>
      </c>
      <c r="Q66" s="2" t="s">
        <v>26</v>
      </c>
      <c r="R66" s="2" t="s">
        <v>26</v>
      </c>
    </row>
    <row r="67" spans="1:18" x14ac:dyDescent="0.3">
      <c r="A67" s="1" t="s">
        <v>491</v>
      </c>
      <c r="B67" s="2" t="s">
        <v>492</v>
      </c>
      <c r="C67" s="2" t="s">
        <v>244</v>
      </c>
      <c r="D67" s="2" t="s">
        <v>372</v>
      </c>
      <c r="E67" s="2" t="s">
        <v>373</v>
      </c>
      <c r="F67" s="2"/>
      <c r="G67" s="2" t="s">
        <v>374</v>
      </c>
      <c r="H67" s="2" t="s">
        <v>17</v>
      </c>
      <c r="I67" s="2">
        <v>92831</v>
      </c>
      <c r="J67" s="2" t="s">
        <v>8</v>
      </c>
      <c r="K67" s="2" t="s">
        <v>493</v>
      </c>
      <c r="L67" s="2">
        <v>6572784256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8" t="s">
        <v>11</v>
      </c>
    </row>
    <row r="68" spans="1:18" x14ac:dyDescent="0.3">
      <c r="A68" s="1" t="s">
        <v>494</v>
      </c>
      <c r="B68" s="2" t="s">
        <v>495</v>
      </c>
      <c r="C68" s="2" t="s">
        <v>496</v>
      </c>
      <c r="D68" s="2" t="s">
        <v>400</v>
      </c>
      <c r="E68" s="2" t="s">
        <v>401</v>
      </c>
      <c r="F68" s="2"/>
      <c r="G68" s="2" t="s">
        <v>402</v>
      </c>
      <c r="H68" s="2" t="s">
        <v>403</v>
      </c>
      <c r="I68" s="2">
        <v>28269</v>
      </c>
      <c r="J68" s="2" t="s">
        <v>8</v>
      </c>
      <c r="K68" s="2" t="s">
        <v>497</v>
      </c>
      <c r="L68" s="2">
        <v>9253883777</v>
      </c>
      <c r="M68" s="2" t="s">
        <v>26</v>
      </c>
      <c r="N68" s="2" t="s">
        <v>26</v>
      </c>
      <c r="O68" s="2" t="s">
        <v>26</v>
      </c>
      <c r="P68" s="8" t="s">
        <v>11</v>
      </c>
      <c r="Q68" s="2" t="s">
        <v>26</v>
      </c>
      <c r="R68" s="2" t="s">
        <v>26</v>
      </c>
    </row>
    <row r="69" spans="1:18" x14ac:dyDescent="0.3">
      <c r="A69" s="1" t="s">
        <v>498</v>
      </c>
      <c r="B69" s="2" t="s">
        <v>499</v>
      </c>
      <c r="C69" s="2"/>
      <c r="D69" s="2" t="s">
        <v>500</v>
      </c>
      <c r="E69" s="2" t="s">
        <v>501</v>
      </c>
      <c r="F69" s="2"/>
      <c r="G69" s="2" t="s">
        <v>502</v>
      </c>
      <c r="H69" s="2" t="s">
        <v>195</v>
      </c>
      <c r="I69" s="2">
        <v>7065</v>
      </c>
      <c r="J69" s="2" t="s">
        <v>8</v>
      </c>
      <c r="K69" s="2" t="s">
        <v>503</v>
      </c>
      <c r="L69" s="2">
        <v>7758484646</v>
      </c>
      <c r="M69" s="2" t="s">
        <v>26</v>
      </c>
      <c r="N69" s="2" t="s">
        <v>26</v>
      </c>
      <c r="O69" s="2" t="s">
        <v>26</v>
      </c>
      <c r="P69" s="8" t="s">
        <v>11</v>
      </c>
      <c r="Q69" s="2" t="s">
        <v>26</v>
      </c>
      <c r="R69" s="2" t="s">
        <v>26</v>
      </c>
    </row>
    <row r="70" spans="1:18" x14ac:dyDescent="0.3">
      <c r="A70" s="1" t="s">
        <v>504</v>
      </c>
      <c r="B70" s="2" t="s">
        <v>470</v>
      </c>
      <c r="C70" s="2" t="s">
        <v>505</v>
      </c>
      <c r="D70" s="2" t="s">
        <v>506</v>
      </c>
      <c r="E70" s="2" t="s">
        <v>507</v>
      </c>
      <c r="F70" s="2"/>
      <c r="G70" s="2" t="s">
        <v>508</v>
      </c>
      <c r="H70" s="2" t="s">
        <v>74</v>
      </c>
      <c r="I70" s="2">
        <v>200241</v>
      </c>
      <c r="J70" s="2" t="s">
        <v>509</v>
      </c>
      <c r="K70" s="2" t="s">
        <v>510</v>
      </c>
      <c r="L70" s="2">
        <f>86-13022164515</f>
        <v>-13022164429</v>
      </c>
      <c r="M70" s="2" t="s">
        <v>26</v>
      </c>
      <c r="N70" s="2" t="s">
        <v>26</v>
      </c>
      <c r="O70" s="2" t="s">
        <v>26</v>
      </c>
      <c r="P70" s="8" t="s">
        <v>11</v>
      </c>
      <c r="Q70" s="2" t="s">
        <v>26</v>
      </c>
      <c r="R70" s="2" t="s">
        <v>26</v>
      </c>
    </row>
    <row r="71" spans="1:18" x14ac:dyDescent="0.3">
      <c r="A71" s="1" t="s">
        <v>511</v>
      </c>
      <c r="B71" s="2" t="s">
        <v>512</v>
      </c>
      <c r="C71" s="2" t="s">
        <v>428</v>
      </c>
      <c r="D71" s="2" t="s">
        <v>513</v>
      </c>
      <c r="E71" s="2" t="s">
        <v>514</v>
      </c>
      <c r="F71" s="2"/>
      <c r="G71" s="2" t="s">
        <v>515</v>
      </c>
      <c r="H71" s="2" t="s">
        <v>34</v>
      </c>
      <c r="I71" s="2">
        <v>46074</v>
      </c>
      <c r="J71" s="2" t="s">
        <v>8</v>
      </c>
      <c r="K71" s="2" t="s">
        <v>516</v>
      </c>
      <c r="L71" s="2">
        <v>8122191634</v>
      </c>
      <c r="M71" s="2" t="s">
        <v>26</v>
      </c>
      <c r="N71" s="2" t="s">
        <v>26</v>
      </c>
      <c r="O71" s="2" t="s">
        <v>26</v>
      </c>
      <c r="P71" s="8" t="s">
        <v>11</v>
      </c>
      <c r="Q71" s="2" t="s">
        <v>26</v>
      </c>
      <c r="R71" s="2" t="s">
        <v>26</v>
      </c>
    </row>
    <row r="72" spans="1:18" x14ac:dyDescent="0.3">
      <c r="A72" s="1" t="s">
        <v>517</v>
      </c>
      <c r="B72" s="2" t="s">
        <v>518</v>
      </c>
      <c r="C72" s="2" t="s">
        <v>40</v>
      </c>
      <c r="D72" s="2" t="s">
        <v>519</v>
      </c>
      <c r="E72" s="2" t="s">
        <v>520</v>
      </c>
      <c r="F72" s="2"/>
      <c r="G72" s="2" t="s">
        <v>521</v>
      </c>
      <c r="H72" s="2" t="s">
        <v>17</v>
      </c>
      <c r="I72" s="2">
        <v>92121</v>
      </c>
      <c r="J72" s="2" t="s">
        <v>8</v>
      </c>
      <c r="K72" s="2" t="s">
        <v>522</v>
      </c>
      <c r="L72" s="2">
        <v>8042489190</v>
      </c>
      <c r="M72" s="2" t="s">
        <v>26</v>
      </c>
      <c r="N72" s="2" t="s">
        <v>26</v>
      </c>
      <c r="O72" s="2" t="s">
        <v>26</v>
      </c>
      <c r="P72" s="8" t="s">
        <v>11</v>
      </c>
      <c r="Q72" s="2" t="s">
        <v>26</v>
      </c>
      <c r="R72" s="2" t="s">
        <v>26</v>
      </c>
    </row>
    <row r="73" spans="1:18" x14ac:dyDescent="0.3">
      <c r="A73" s="1" t="s">
        <v>523</v>
      </c>
      <c r="B73" s="2" t="s">
        <v>524</v>
      </c>
      <c r="C73" s="2" t="s">
        <v>280</v>
      </c>
      <c r="D73" s="2" t="s">
        <v>525</v>
      </c>
      <c r="E73" s="2" t="s">
        <v>526</v>
      </c>
      <c r="F73" s="2"/>
      <c r="G73" s="2" t="s">
        <v>527</v>
      </c>
      <c r="H73" s="2" t="s">
        <v>74</v>
      </c>
      <c r="I73" s="2">
        <v>310024</v>
      </c>
      <c r="J73" s="2" t="s">
        <v>509</v>
      </c>
      <c r="K73" s="2" t="s">
        <v>528</v>
      </c>
      <c r="L73" s="2" t="s">
        <v>529</v>
      </c>
      <c r="M73" s="2" t="s">
        <v>26</v>
      </c>
      <c r="N73" s="2" t="s">
        <v>26</v>
      </c>
      <c r="O73" s="2" t="s">
        <v>26</v>
      </c>
      <c r="P73" s="2" t="s">
        <v>26</v>
      </c>
      <c r="Q73" s="8" t="s">
        <v>11</v>
      </c>
      <c r="R73" s="2" t="s">
        <v>26</v>
      </c>
    </row>
    <row r="74" spans="1:18" x14ac:dyDescent="0.3">
      <c r="A74" s="1" t="s">
        <v>530</v>
      </c>
      <c r="B74" s="2" t="s">
        <v>531</v>
      </c>
      <c r="C74" s="2" t="s">
        <v>253</v>
      </c>
      <c r="D74" s="2" t="s">
        <v>532</v>
      </c>
      <c r="E74" s="2" t="s">
        <v>533</v>
      </c>
      <c r="F74" s="2"/>
      <c r="G74" s="2" t="s">
        <v>534</v>
      </c>
      <c r="H74" s="2" t="s">
        <v>7</v>
      </c>
      <c r="I74" s="2">
        <v>2139</v>
      </c>
      <c r="J74" s="2" t="s">
        <v>8</v>
      </c>
      <c r="K74" s="2" t="s">
        <v>535</v>
      </c>
      <c r="L74" s="2">
        <v>6173240180</v>
      </c>
      <c r="M74" s="2" t="s">
        <v>26</v>
      </c>
      <c r="N74" s="2" t="s">
        <v>26</v>
      </c>
      <c r="O74" s="2" t="s">
        <v>26</v>
      </c>
      <c r="P74" s="2" t="s">
        <v>26</v>
      </c>
      <c r="Q74" s="8" t="s">
        <v>11</v>
      </c>
      <c r="R74" s="2" t="s">
        <v>26</v>
      </c>
    </row>
    <row r="75" spans="1:18" x14ac:dyDescent="0.3">
      <c r="A75" s="1" t="s">
        <v>536</v>
      </c>
      <c r="B75" s="2" t="s">
        <v>537</v>
      </c>
      <c r="C75" s="2" t="s">
        <v>385</v>
      </c>
      <c r="D75" s="2" t="s">
        <v>239</v>
      </c>
      <c r="E75" s="2" t="s">
        <v>538</v>
      </c>
      <c r="F75" s="2"/>
      <c r="G75" s="2" t="s">
        <v>539</v>
      </c>
      <c r="H75" s="2" t="s">
        <v>242</v>
      </c>
      <c r="I75" s="2">
        <v>84115</v>
      </c>
      <c r="J75" s="2" t="s">
        <v>8</v>
      </c>
      <c r="K75" s="2" t="s">
        <v>540</v>
      </c>
      <c r="L75" s="2" t="s">
        <v>541</v>
      </c>
      <c r="M75" s="2" t="s">
        <v>26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</row>
    <row r="76" spans="1:18" x14ac:dyDescent="0.3">
      <c r="A76" s="1" t="s">
        <v>542</v>
      </c>
      <c r="B76" s="2" t="s">
        <v>543</v>
      </c>
      <c r="C76" s="2" t="s">
        <v>544</v>
      </c>
      <c r="D76" s="2" t="s">
        <v>545</v>
      </c>
      <c r="E76" s="2" t="s">
        <v>546</v>
      </c>
      <c r="F76" s="2" t="s">
        <v>547</v>
      </c>
      <c r="G76" s="2" t="s">
        <v>6</v>
      </c>
      <c r="H76" s="2" t="s">
        <v>7</v>
      </c>
      <c r="I76" s="2">
        <v>2141</v>
      </c>
      <c r="J76" s="2" t="s">
        <v>8</v>
      </c>
      <c r="K76" s="2" t="s">
        <v>548</v>
      </c>
      <c r="L76" s="2">
        <v>8182205509</v>
      </c>
      <c r="M76" s="2" t="s">
        <v>26</v>
      </c>
      <c r="N76" s="2" t="s">
        <v>26</v>
      </c>
      <c r="O76" s="2" t="s">
        <v>26</v>
      </c>
      <c r="P76" s="8" t="s">
        <v>11</v>
      </c>
      <c r="Q76" s="2" t="s">
        <v>26</v>
      </c>
      <c r="R76" s="2" t="s">
        <v>26</v>
      </c>
    </row>
    <row r="77" spans="1:18" x14ac:dyDescent="0.3">
      <c r="A77" s="1" t="s">
        <v>549</v>
      </c>
      <c r="B77" s="2" t="s">
        <v>550</v>
      </c>
      <c r="C77" s="2" t="s">
        <v>551</v>
      </c>
      <c r="D77" s="2" t="s">
        <v>131</v>
      </c>
      <c r="E77" s="2" t="s">
        <v>132</v>
      </c>
      <c r="F77" s="2"/>
      <c r="G77" s="2" t="s">
        <v>133</v>
      </c>
      <c r="H77" s="2" t="s">
        <v>134</v>
      </c>
      <c r="I77" s="2">
        <v>85714</v>
      </c>
      <c r="J77" s="2" t="s">
        <v>8</v>
      </c>
      <c r="K77" s="2" t="s">
        <v>552</v>
      </c>
      <c r="L77" s="2" t="s">
        <v>553</v>
      </c>
      <c r="M77" s="2" t="s">
        <v>26</v>
      </c>
      <c r="N77" s="2" t="s">
        <v>26</v>
      </c>
      <c r="O77" s="2" t="s">
        <v>26</v>
      </c>
      <c r="P77" s="8" t="s">
        <v>11</v>
      </c>
      <c r="Q77" s="2" t="s">
        <v>26</v>
      </c>
      <c r="R77" s="2" t="s">
        <v>26</v>
      </c>
    </row>
    <row r="78" spans="1:18" x14ac:dyDescent="0.3">
      <c r="A78" s="1" t="s">
        <v>554</v>
      </c>
      <c r="B78" s="2" t="s">
        <v>555</v>
      </c>
      <c r="C78" s="2" t="s">
        <v>61</v>
      </c>
      <c r="D78" s="2" t="s">
        <v>556</v>
      </c>
      <c r="E78" s="2" t="s">
        <v>557</v>
      </c>
      <c r="F78" s="2"/>
      <c r="G78" s="2" t="s">
        <v>558</v>
      </c>
      <c r="H78" s="2" t="s">
        <v>559</v>
      </c>
      <c r="I78" s="2">
        <v>50011</v>
      </c>
      <c r="J78" s="2" t="s">
        <v>8</v>
      </c>
      <c r="K78" s="2" t="s">
        <v>560</v>
      </c>
      <c r="L78" s="2" t="s">
        <v>561</v>
      </c>
      <c r="M78" s="2" t="s">
        <v>26</v>
      </c>
      <c r="N78" s="2" t="s">
        <v>26</v>
      </c>
      <c r="O78" s="2" t="s">
        <v>26</v>
      </c>
      <c r="P78" s="2" t="s">
        <v>26</v>
      </c>
      <c r="Q78" s="8" t="s">
        <v>11</v>
      </c>
      <c r="R78" s="2" t="s">
        <v>26</v>
      </c>
    </row>
    <row r="79" spans="1:18" x14ac:dyDescent="0.3">
      <c r="A79" s="1" t="s">
        <v>562</v>
      </c>
      <c r="B79" s="2" t="s">
        <v>563</v>
      </c>
      <c r="C79" s="2" t="s">
        <v>564</v>
      </c>
      <c r="D79" s="2" t="s">
        <v>565</v>
      </c>
      <c r="E79" s="2" t="s">
        <v>566</v>
      </c>
      <c r="F79" s="2" t="s">
        <v>567</v>
      </c>
      <c r="G79" s="2" t="s">
        <v>124</v>
      </c>
      <c r="H79" s="2" t="s">
        <v>125</v>
      </c>
      <c r="I79" s="2" t="s">
        <v>568</v>
      </c>
      <c r="J79" s="2" t="s">
        <v>8</v>
      </c>
      <c r="K79" s="2" t="s">
        <v>569</v>
      </c>
      <c r="L79" s="2">
        <v>6303370317</v>
      </c>
      <c r="M79" s="2" t="s">
        <v>26</v>
      </c>
      <c r="N79" s="2" t="s">
        <v>26</v>
      </c>
      <c r="O79" s="2" t="s">
        <v>26</v>
      </c>
      <c r="P79" s="8" t="s">
        <v>11</v>
      </c>
      <c r="Q79" s="2" t="s">
        <v>26</v>
      </c>
      <c r="R79" s="2" t="s">
        <v>26</v>
      </c>
    </row>
    <row r="80" spans="1:18" x14ac:dyDescent="0.3">
      <c r="A80" s="1" t="s">
        <v>570</v>
      </c>
      <c r="B80" s="2" t="s">
        <v>571</v>
      </c>
      <c r="C80" s="2" t="s">
        <v>572</v>
      </c>
      <c r="D80" s="2" t="s">
        <v>573</v>
      </c>
      <c r="E80" s="2" t="s">
        <v>574</v>
      </c>
      <c r="F80" s="2"/>
      <c r="G80" s="2" t="s">
        <v>575</v>
      </c>
      <c r="H80" s="2" t="s">
        <v>17</v>
      </c>
      <c r="I80" s="2">
        <v>94555</v>
      </c>
      <c r="J80" s="2" t="s">
        <v>8</v>
      </c>
      <c r="K80" s="2" t="s">
        <v>576</v>
      </c>
      <c r="L80" s="2">
        <v>5103989643</v>
      </c>
      <c r="M80" s="2" t="s">
        <v>26</v>
      </c>
      <c r="N80" s="2" t="s">
        <v>26</v>
      </c>
      <c r="O80" s="2" t="s">
        <v>26</v>
      </c>
      <c r="P80" s="8" t="s">
        <v>11</v>
      </c>
      <c r="Q80" s="2" t="s">
        <v>26</v>
      </c>
      <c r="R80" s="2" t="s">
        <v>26</v>
      </c>
    </row>
    <row r="81" spans="1:18" x14ac:dyDescent="0.3">
      <c r="A81" s="1" t="s">
        <v>577</v>
      </c>
      <c r="B81" s="2" t="s">
        <v>578</v>
      </c>
      <c r="C81" s="2" t="s">
        <v>78</v>
      </c>
      <c r="D81" s="2" t="s">
        <v>579</v>
      </c>
      <c r="E81" s="2" t="s">
        <v>580</v>
      </c>
      <c r="F81" s="2"/>
      <c r="G81" s="2" t="s">
        <v>581</v>
      </c>
      <c r="H81" s="2" t="s">
        <v>7</v>
      </c>
      <c r="I81" s="2">
        <v>2467</v>
      </c>
      <c r="J81" s="2" t="s">
        <v>8</v>
      </c>
      <c r="K81" s="2" t="s">
        <v>582</v>
      </c>
      <c r="L81" s="2">
        <v>9519720354</v>
      </c>
      <c r="M81" s="8" t="s">
        <v>11</v>
      </c>
      <c r="N81" s="2" t="s">
        <v>26</v>
      </c>
      <c r="O81" s="2" t="s">
        <v>26</v>
      </c>
      <c r="P81" s="2" t="s">
        <v>26</v>
      </c>
      <c r="Q81" s="2" t="s">
        <v>26</v>
      </c>
      <c r="R81" s="2" t="s">
        <v>26</v>
      </c>
    </row>
    <row r="82" spans="1:18" x14ac:dyDescent="0.3">
      <c r="A82" s="1" t="s">
        <v>583</v>
      </c>
      <c r="B82" s="2" t="s">
        <v>584</v>
      </c>
      <c r="C82" s="2" t="s">
        <v>585</v>
      </c>
      <c r="D82" s="2" t="s">
        <v>586</v>
      </c>
      <c r="E82" s="2" t="s">
        <v>587</v>
      </c>
      <c r="F82" s="2" t="s">
        <v>588</v>
      </c>
      <c r="G82" s="2" t="s">
        <v>589</v>
      </c>
      <c r="H82" s="2" t="s">
        <v>125</v>
      </c>
      <c r="I82" s="2">
        <v>60061</v>
      </c>
      <c r="J82" s="2" t="s">
        <v>8</v>
      </c>
      <c r="K82" s="2" t="s">
        <v>590</v>
      </c>
      <c r="L82" s="2">
        <v>2244304658</v>
      </c>
      <c r="M82" s="2" t="s">
        <v>26</v>
      </c>
      <c r="N82" s="2" t="s">
        <v>26</v>
      </c>
      <c r="O82" s="2" t="s">
        <v>26</v>
      </c>
      <c r="P82" s="8" t="s">
        <v>11</v>
      </c>
      <c r="Q82" s="2" t="s">
        <v>26</v>
      </c>
      <c r="R82" s="2" t="s">
        <v>26</v>
      </c>
    </row>
    <row r="83" spans="1:18" x14ac:dyDescent="0.3">
      <c r="A83" s="1" t="s">
        <v>591</v>
      </c>
      <c r="B83" s="2" t="s">
        <v>592</v>
      </c>
      <c r="C83" s="2" t="s">
        <v>280</v>
      </c>
      <c r="D83" s="2" t="s">
        <v>122</v>
      </c>
      <c r="E83" s="2" t="s">
        <v>593</v>
      </c>
      <c r="F83" s="2" t="s">
        <v>594</v>
      </c>
      <c r="G83" s="2" t="s">
        <v>124</v>
      </c>
      <c r="H83" s="2" t="s">
        <v>125</v>
      </c>
      <c r="I83" s="2">
        <v>60612</v>
      </c>
      <c r="J83" s="2" t="s">
        <v>8</v>
      </c>
      <c r="K83" s="2" t="s">
        <v>595</v>
      </c>
      <c r="L83" s="2" t="s">
        <v>596</v>
      </c>
      <c r="M83" s="2" t="s">
        <v>26</v>
      </c>
      <c r="N83" s="2" t="s">
        <v>26</v>
      </c>
      <c r="O83" s="2" t="s">
        <v>26</v>
      </c>
      <c r="P83" s="2" t="s">
        <v>26</v>
      </c>
      <c r="Q83" s="8" t="s">
        <v>11</v>
      </c>
      <c r="R83" s="2" t="s">
        <v>26</v>
      </c>
    </row>
    <row r="84" spans="1:18" x14ac:dyDescent="0.3">
      <c r="A84" s="1" t="s">
        <v>597</v>
      </c>
      <c r="B84" s="2" t="s">
        <v>598</v>
      </c>
      <c r="C84" s="2" t="s">
        <v>599</v>
      </c>
      <c r="D84" s="2" t="s">
        <v>600</v>
      </c>
      <c r="E84" s="2" t="s">
        <v>601</v>
      </c>
      <c r="F84" s="2"/>
      <c r="G84" s="2" t="s">
        <v>310</v>
      </c>
      <c r="H84" s="2" t="s">
        <v>34</v>
      </c>
      <c r="I84" s="2">
        <v>46285</v>
      </c>
      <c r="J84" s="2" t="s">
        <v>8</v>
      </c>
      <c r="K84" s="2" t="s">
        <v>602</v>
      </c>
      <c r="L84" s="2">
        <v>3174084192</v>
      </c>
      <c r="M84" s="2" t="s">
        <v>26</v>
      </c>
      <c r="N84" s="2" t="s">
        <v>26</v>
      </c>
      <c r="O84" s="2" t="s">
        <v>26</v>
      </c>
      <c r="P84" s="8" t="s">
        <v>11</v>
      </c>
      <c r="Q84" s="2" t="s">
        <v>26</v>
      </c>
      <c r="R84" s="2" t="s">
        <v>26</v>
      </c>
    </row>
    <row r="85" spans="1:18" x14ac:dyDescent="0.3">
      <c r="A85" s="1" t="s">
        <v>603</v>
      </c>
      <c r="B85" s="2" t="s">
        <v>604</v>
      </c>
      <c r="C85" s="2" t="s">
        <v>605</v>
      </c>
      <c r="D85" s="2" t="s">
        <v>606</v>
      </c>
      <c r="E85" s="2" t="s">
        <v>607</v>
      </c>
      <c r="F85" s="2" t="s">
        <v>608</v>
      </c>
      <c r="G85" s="2" t="s">
        <v>124</v>
      </c>
      <c r="H85" s="2" t="s">
        <v>125</v>
      </c>
      <c r="I85" s="2">
        <v>60614</v>
      </c>
      <c r="J85" s="2" t="s">
        <v>8</v>
      </c>
      <c r="K85" s="2" t="s">
        <v>609</v>
      </c>
      <c r="L85" s="2" t="s">
        <v>610</v>
      </c>
      <c r="M85" s="2" t="s">
        <v>26</v>
      </c>
      <c r="N85" s="8" t="s">
        <v>11</v>
      </c>
      <c r="O85" s="2" t="s">
        <v>26</v>
      </c>
      <c r="P85" s="2" t="s">
        <v>26</v>
      </c>
      <c r="Q85" s="2" t="s">
        <v>26</v>
      </c>
      <c r="R85" s="2" t="s">
        <v>26</v>
      </c>
    </row>
    <row r="86" spans="1:18" x14ac:dyDescent="0.3">
      <c r="A86" s="1" t="s">
        <v>611</v>
      </c>
      <c r="B86" s="2" t="s">
        <v>612</v>
      </c>
      <c r="C86" s="2" t="s">
        <v>613</v>
      </c>
      <c r="D86" s="2" t="s">
        <v>519</v>
      </c>
      <c r="E86" s="2" t="s">
        <v>614</v>
      </c>
      <c r="F86" s="2" t="s">
        <v>615</v>
      </c>
      <c r="G86" s="2" t="s">
        <v>616</v>
      </c>
      <c r="H86" s="2" t="s">
        <v>17</v>
      </c>
      <c r="I86" s="2">
        <v>92037</v>
      </c>
      <c r="J86" s="2" t="s">
        <v>8</v>
      </c>
      <c r="K86" s="2" t="s">
        <v>617</v>
      </c>
      <c r="L86" s="2">
        <v>8042481802</v>
      </c>
      <c r="M86" s="2" t="s">
        <v>26</v>
      </c>
      <c r="N86" s="2" t="s">
        <v>26</v>
      </c>
      <c r="O86" s="2" t="s">
        <v>26</v>
      </c>
      <c r="P86" s="8" t="s">
        <v>11</v>
      </c>
      <c r="Q86" s="2" t="s">
        <v>26</v>
      </c>
      <c r="R86" s="2" t="s">
        <v>26</v>
      </c>
    </row>
    <row r="87" spans="1:18" x14ac:dyDescent="0.3">
      <c r="A87" s="1" t="s">
        <v>618</v>
      </c>
      <c r="B87" s="2" t="s">
        <v>619</v>
      </c>
      <c r="C87" s="2" t="s">
        <v>342</v>
      </c>
      <c r="D87" s="2" t="s">
        <v>620</v>
      </c>
      <c r="E87" s="2" t="s">
        <v>621</v>
      </c>
      <c r="F87" s="2" t="s">
        <v>622</v>
      </c>
      <c r="G87" s="2" t="s">
        <v>623</v>
      </c>
      <c r="H87" s="2" t="s">
        <v>17</v>
      </c>
      <c r="I87" s="2">
        <v>94709</v>
      </c>
      <c r="J87" s="2" t="s">
        <v>8</v>
      </c>
      <c r="K87" s="2" t="s">
        <v>624</v>
      </c>
      <c r="L87" s="2">
        <v>7604451471</v>
      </c>
      <c r="M87" s="2" t="s">
        <v>26</v>
      </c>
      <c r="N87" s="2" t="s">
        <v>26</v>
      </c>
      <c r="O87" s="8" t="s">
        <v>11</v>
      </c>
      <c r="P87" s="2" t="s">
        <v>26</v>
      </c>
      <c r="Q87" s="2" t="s">
        <v>26</v>
      </c>
      <c r="R87" s="2" t="s">
        <v>26</v>
      </c>
    </row>
    <row r="88" spans="1:18" x14ac:dyDescent="0.3">
      <c r="A88" s="1" t="s">
        <v>625</v>
      </c>
      <c r="B88" s="2" t="s">
        <v>626</v>
      </c>
      <c r="C88" s="2" t="s">
        <v>627</v>
      </c>
      <c r="D88" s="2" t="s">
        <v>628</v>
      </c>
      <c r="E88" s="2" t="s">
        <v>629</v>
      </c>
      <c r="F88" s="2"/>
      <c r="G88" s="2" t="s">
        <v>630</v>
      </c>
      <c r="H88" s="2" t="s">
        <v>195</v>
      </c>
      <c r="I88" s="2">
        <v>11790</v>
      </c>
      <c r="J88" s="2" t="s">
        <v>8</v>
      </c>
      <c r="K88" s="2" t="s">
        <v>631</v>
      </c>
      <c r="L88" s="2">
        <v>6506295181</v>
      </c>
      <c r="M88" s="2" t="s">
        <v>26</v>
      </c>
      <c r="N88" s="2" t="s">
        <v>26</v>
      </c>
      <c r="O88" s="8" t="s">
        <v>11</v>
      </c>
      <c r="P88" s="2" t="s">
        <v>26</v>
      </c>
      <c r="Q88" s="2" t="s">
        <v>26</v>
      </c>
      <c r="R88" s="2" t="s">
        <v>26</v>
      </c>
    </row>
    <row r="89" spans="1:18" x14ac:dyDescent="0.3">
      <c r="A89" s="1" t="s">
        <v>632</v>
      </c>
      <c r="B89" s="2" t="s">
        <v>633</v>
      </c>
      <c r="C89" s="2" t="s">
        <v>329</v>
      </c>
      <c r="D89" s="2" t="s">
        <v>634</v>
      </c>
      <c r="E89" s="2" t="s">
        <v>635</v>
      </c>
      <c r="F89" s="2" t="s">
        <v>636</v>
      </c>
      <c r="G89" s="2" t="s">
        <v>483</v>
      </c>
      <c r="H89" s="2" t="s">
        <v>17</v>
      </c>
      <c r="I89" s="2">
        <v>94080</v>
      </c>
      <c r="J89" s="2" t="s">
        <v>8</v>
      </c>
      <c r="K89" s="2" t="s">
        <v>637</v>
      </c>
      <c r="L89" s="2">
        <v>9102807587</v>
      </c>
      <c r="M89" s="2" t="s">
        <v>26</v>
      </c>
      <c r="N89" s="2" t="s">
        <v>26</v>
      </c>
      <c r="O89" s="2" t="s">
        <v>26</v>
      </c>
      <c r="P89" s="8" t="s">
        <v>11</v>
      </c>
      <c r="Q89" s="2" t="s">
        <v>26</v>
      </c>
      <c r="R89" s="2" t="s">
        <v>26</v>
      </c>
    </row>
    <row r="90" spans="1:18" x14ac:dyDescent="0.3">
      <c r="A90" s="1" t="s">
        <v>638</v>
      </c>
      <c r="B90" s="2" t="s">
        <v>639</v>
      </c>
      <c r="C90" s="2" t="s">
        <v>253</v>
      </c>
      <c r="D90" s="2" t="s">
        <v>640</v>
      </c>
      <c r="E90" s="2" t="s">
        <v>641</v>
      </c>
      <c r="F90" s="2"/>
      <c r="G90" s="2" t="s">
        <v>202</v>
      </c>
      <c r="H90" s="2" t="s">
        <v>203</v>
      </c>
      <c r="I90" s="2">
        <v>55455</v>
      </c>
      <c r="J90" s="2" t="s">
        <v>8</v>
      </c>
      <c r="K90" s="2" t="s">
        <v>642</v>
      </c>
      <c r="L90" s="2">
        <v>6126269262</v>
      </c>
      <c r="M90" s="2" t="s">
        <v>26</v>
      </c>
      <c r="N90" s="2" t="s">
        <v>26</v>
      </c>
      <c r="O90" s="2" t="s">
        <v>26</v>
      </c>
      <c r="P90" s="2" t="s">
        <v>26</v>
      </c>
      <c r="Q90" s="8" t="s">
        <v>11</v>
      </c>
      <c r="R90" s="2" t="s">
        <v>26</v>
      </c>
    </row>
    <row r="91" spans="1:18" x14ac:dyDescent="0.3">
      <c r="A91" s="1" t="s">
        <v>643</v>
      </c>
      <c r="B91" s="2" t="s">
        <v>644</v>
      </c>
      <c r="C91" s="2" t="s">
        <v>61</v>
      </c>
      <c r="D91" s="2" t="s">
        <v>386</v>
      </c>
      <c r="E91" s="2" t="s">
        <v>645</v>
      </c>
      <c r="F91" s="2" t="s">
        <v>646</v>
      </c>
      <c r="G91" s="2" t="s">
        <v>389</v>
      </c>
      <c r="H91" s="2" t="s">
        <v>34</v>
      </c>
      <c r="I91" s="2">
        <v>47905</v>
      </c>
      <c r="J91" s="2" t="s">
        <v>8</v>
      </c>
      <c r="K91" s="2" t="s">
        <v>647</v>
      </c>
      <c r="L91" s="2" t="s">
        <v>648</v>
      </c>
      <c r="M91" s="2" t="s">
        <v>26</v>
      </c>
      <c r="N91" s="2" t="s">
        <v>26</v>
      </c>
      <c r="O91" s="2" t="s">
        <v>26</v>
      </c>
      <c r="P91" s="2" t="s">
        <v>26</v>
      </c>
      <c r="Q91" s="8" t="s">
        <v>11</v>
      </c>
      <c r="R91" s="2" t="s">
        <v>26</v>
      </c>
    </row>
    <row r="92" spans="1:18" x14ac:dyDescent="0.3">
      <c r="A92" s="1" t="s">
        <v>649</v>
      </c>
      <c r="B92" s="2" t="s">
        <v>650</v>
      </c>
      <c r="C92" s="2" t="s">
        <v>651</v>
      </c>
      <c r="D92" s="2" t="s">
        <v>652</v>
      </c>
      <c r="E92" s="2" t="s">
        <v>653</v>
      </c>
      <c r="F92" s="2"/>
      <c r="G92" s="2" t="s">
        <v>654</v>
      </c>
      <c r="H92" s="2" t="s">
        <v>655</v>
      </c>
      <c r="I92" s="2">
        <v>23229</v>
      </c>
      <c r="J92" s="2" t="s">
        <v>8</v>
      </c>
      <c r="K92" s="2" t="s">
        <v>656</v>
      </c>
      <c r="L92" s="2">
        <v>6516030909</v>
      </c>
      <c r="M92" s="2" t="s">
        <v>26</v>
      </c>
      <c r="N92" s="2" t="s">
        <v>26</v>
      </c>
      <c r="O92" s="2" t="s">
        <v>26</v>
      </c>
      <c r="P92" s="8" t="s">
        <v>11</v>
      </c>
      <c r="Q92" s="2" t="s">
        <v>26</v>
      </c>
      <c r="R92" s="2" t="s">
        <v>26</v>
      </c>
    </row>
    <row r="93" spans="1:18" x14ac:dyDescent="0.3">
      <c r="A93" s="1" t="s">
        <v>657</v>
      </c>
      <c r="B93" s="2" t="s">
        <v>658</v>
      </c>
      <c r="C93" s="2" t="s">
        <v>659</v>
      </c>
      <c r="D93" s="2" t="s">
        <v>660</v>
      </c>
      <c r="E93" s="2" t="s">
        <v>661</v>
      </c>
      <c r="F93" s="2"/>
      <c r="G93" s="2" t="s">
        <v>662</v>
      </c>
      <c r="H93" s="2" t="s">
        <v>663</v>
      </c>
      <c r="I93" s="2">
        <v>98115</v>
      </c>
      <c r="J93" s="2" t="s">
        <v>8</v>
      </c>
      <c r="K93" s="2" t="s">
        <v>664</v>
      </c>
      <c r="L93" s="2" t="s">
        <v>665</v>
      </c>
      <c r="M93" s="2" t="s">
        <v>26</v>
      </c>
      <c r="N93" s="2" t="s">
        <v>26</v>
      </c>
      <c r="O93" s="2" t="s">
        <v>26</v>
      </c>
      <c r="P93" s="2" t="s">
        <v>26</v>
      </c>
      <c r="Q93" s="8" t="s">
        <v>11</v>
      </c>
      <c r="R93" s="2" t="s">
        <v>26</v>
      </c>
    </row>
    <row r="94" spans="1:18" x14ac:dyDescent="0.3">
      <c r="A94" s="1" t="s">
        <v>666</v>
      </c>
      <c r="B94" s="2" t="s">
        <v>667</v>
      </c>
      <c r="C94" s="2" t="s">
        <v>651</v>
      </c>
      <c r="D94" s="2" t="s">
        <v>668</v>
      </c>
      <c r="E94" s="2" t="s">
        <v>669</v>
      </c>
      <c r="F94" s="2"/>
      <c r="G94" s="2" t="s">
        <v>670</v>
      </c>
      <c r="H94" s="2" t="s">
        <v>7</v>
      </c>
      <c r="I94" s="2">
        <v>1434</v>
      </c>
      <c r="J94" s="2" t="s">
        <v>8</v>
      </c>
      <c r="K94" s="2" t="s">
        <v>671</v>
      </c>
      <c r="L94" s="2">
        <v>9784871196</v>
      </c>
      <c r="M94" s="2" t="s">
        <v>26</v>
      </c>
      <c r="N94" s="2" t="s">
        <v>26</v>
      </c>
      <c r="O94" s="2" t="s">
        <v>26</v>
      </c>
      <c r="P94" s="8" t="s">
        <v>11</v>
      </c>
      <c r="Q94" s="2" t="s">
        <v>26</v>
      </c>
      <c r="R94" s="2" t="s">
        <v>26</v>
      </c>
    </row>
    <row r="95" spans="1:18" x14ac:dyDescent="0.3">
      <c r="A95" s="1" t="s">
        <v>672</v>
      </c>
      <c r="B95" s="2" t="s">
        <v>673</v>
      </c>
      <c r="C95" s="2" t="s">
        <v>674</v>
      </c>
      <c r="D95" s="2" t="s">
        <v>675</v>
      </c>
      <c r="E95" s="2" t="s">
        <v>676</v>
      </c>
      <c r="F95" s="2"/>
      <c r="G95" s="2" t="s">
        <v>677</v>
      </c>
      <c r="H95" s="2" t="s">
        <v>7</v>
      </c>
      <c r="I95" s="2">
        <v>2180</v>
      </c>
      <c r="J95" s="2" t="s">
        <v>8</v>
      </c>
      <c r="K95" s="2" t="s">
        <v>678</v>
      </c>
      <c r="L95" s="2">
        <v>6178990585</v>
      </c>
      <c r="M95" s="2" t="s">
        <v>26</v>
      </c>
      <c r="N95" s="8" t="s">
        <v>11</v>
      </c>
      <c r="O95" s="2" t="s">
        <v>26</v>
      </c>
      <c r="P95" s="2" t="s">
        <v>26</v>
      </c>
      <c r="Q95" s="2" t="s">
        <v>26</v>
      </c>
      <c r="R95" s="2" t="s">
        <v>26</v>
      </c>
    </row>
    <row r="96" spans="1:18" x14ac:dyDescent="0.3">
      <c r="A96" s="1" t="s">
        <v>672</v>
      </c>
      <c r="B96" s="2" t="s">
        <v>679</v>
      </c>
      <c r="C96" s="2" t="s">
        <v>680</v>
      </c>
      <c r="D96" s="2" t="s">
        <v>681</v>
      </c>
      <c r="E96" s="2" t="s">
        <v>682</v>
      </c>
      <c r="F96" s="2"/>
      <c r="G96" s="2" t="s">
        <v>683</v>
      </c>
      <c r="H96" s="2" t="s">
        <v>684</v>
      </c>
      <c r="I96" s="2">
        <v>40228</v>
      </c>
      <c r="J96" s="2" t="s">
        <v>8</v>
      </c>
      <c r="K96" s="2" t="s">
        <v>685</v>
      </c>
      <c r="L96" s="2">
        <v>5024182538</v>
      </c>
      <c r="M96" s="2" t="s">
        <v>26</v>
      </c>
      <c r="N96" s="2" t="s">
        <v>26</v>
      </c>
      <c r="O96" s="2" t="s">
        <v>26</v>
      </c>
      <c r="P96" s="8" t="s">
        <v>11</v>
      </c>
      <c r="Q96" s="2" t="s">
        <v>26</v>
      </c>
      <c r="R96" s="2" t="s">
        <v>26</v>
      </c>
    </row>
    <row r="97" spans="1:18" x14ac:dyDescent="0.3">
      <c r="A97" s="1" t="s">
        <v>686</v>
      </c>
      <c r="B97" s="2" t="s">
        <v>687</v>
      </c>
      <c r="C97" s="2" t="s">
        <v>13</v>
      </c>
      <c r="D97" s="2" t="s">
        <v>500</v>
      </c>
      <c r="E97" s="2" t="s">
        <v>688</v>
      </c>
      <c r="F97" s="2"/>
      <c r="G97" s="2" t="s">
        <v>502</v>
      </c>
      <c r="H97" s="2" t="s">
        <v>143</v>
      </c>
      <c r="I97" s="2">
        <v>7065</v>
      </c>
      <c r="J97" s="2" t="s">
        <v>8</v>
      </c>
      <c r="K97" s="2" t="s">
        <v>689</v>
      </c>
      <c r="L97" s="2">
        <v>7325940743</v>
      </c>
      <c r="M97" s="2" t="s">
        <v>26</v>
      </c>
      <c r="N97" s="2" t="s">
        <v>26</v>
      </c>
      <c r="O97" s="2" t="s">
        <v>26</v>
      </c>
      <c r="P97" s="8" t="s">
        <v>11</v>
      </c>
      <c r="Q97" s="2" t="s">
        <v>26</v>
      </c>
      <c r="R97" s="2" t="s">
        <v>26</v>
      </c>
    </row>
    <row r="98" spans="1:18" x14ac:dyDescent="0.3">
      <c r="A98" s="1" t="s">
        <v>686</v>
      </c>
      <c r="B98" s="2" t="s">
        <v>690</v>
      </c>
      <c r="C98" s="2" t="s">
        <v>78</v>
      </c>
      <c r="D98" s="2" t="s">
        <v>691</v>
      </c>
      <c r="E98" s="2" t="s">
        <v>692</v>
      </c>
      <c r="F98" s="2" t="s">
        <v>693</v>
      </c>
      <c r="G98" s="2" t="s">
        <v>179</v>
      </c>
      <c r="H98" s="2" t="s">
        <v>180</v>
      </c>
      <c r="I98" s="2">
        <v>68510</v>
      </c>
      <c r="J98" s="2" t="s">
        <v>8</v>
      </c>
      <c r="K98" s="2" t="s">
        <v>694</v>
      </c>
      <c r="L98" s="2" t="s">
        <v>695</v>
      </c>
      <c r="M98" s="8" t="s">
        <v>11</v>
      </c>
      <c r="N98" s="2" t="s">
        <v>26</v>
      </c>
      <c r="O98" s="2" t="s">
        <v>26</v>
      </c>
      <c r="P98" s="2" t="s">
        <v>26</v>
      </c>
      <c r="Q98" s="2" t="s">
        <v>26</v>
      </c>
      <c r="R98" s="2" t="s">
        <v>26</v>
      </c>
    </row>
    <row r="99" spans="1:18" x14ac:dyDescent="0.3">
      <c r="A99" s="1" t="s">
        <v>696</v>
      </c>
      <c r="B99" s="2" t="s">
        <v>687</v>
      </c>
      <c r="C99" s="2" t="s">
        <v>697</v>
      </c>
      <c r="D99" s="2" t="s">
        <v>460</v>
      </c>
      <c r="E99" s="2" t="s">
        <v>461</v>
      </c>
      <c r="F99" s="2" t="s">
        <v>462</v>
      </c>
      <c r="G99" s="2" t="s">
        <v>463</v>
      </c>
      <c r="H99" s="2" t="s">
        <v>403</v>
      </c>
      <c r="I99" s="2">
        <v>27560</v>
      </c>
      <c r="J99" s="2" t="s">
        <v>8</v>
      </c>
      <c r="K99" s="2" t="s">
        <v>698</v>
      </c>
      <c r="L99" s="2" t="s">
        <v>699</v>
      </c>
      <c r="M99" s="2" t="s">
        <v>26</v>
      </c>
      <c r="N99" s="2" t="s">
        <v>26</v>
      </c>
      <c r="O99" s="2" t="s">
        <v>26</v>
      </c>
      <c r="P99" s="8" t="s">
        <v>11</v>
      </c>
      <c r="Q99" s="2" t="s">
        <v>26</v>
      </c>
      <c r="R99" s="2" t="s">
        <v>26</v>
      </c>
    </row>
    <row r="100" spans="1:18" x14ac:dyDescent="0.3">
      <c r="A100" s="1" t="s">
        <v>700</v>
      </c>
      <c r="B100" s="2" t="s">
        <v>701</v>
      </c>
      <c r="C100" s="2" t="s">
        <v>564</v>
      </c>
      <c r="D100" s="2" t="s">
        <v>702</v>
      </c>
      <c r="E100" s="2" t="s">
        <v>703</v>
      </c>
      <c r="F100" s="2"/>
      <c r="G100" s="2" t="s">
        <v>704</v>
      </c>
      <c r="H100" s="2" t="s">
        <v>489</v>
      </c>
      <c r="I100" s="2">
        <v>18976</v>
      </c>
      <c r="J100" s="2" t="s">
        <v>8</v>
      </c>
      <c r="K100" s="2" t="s">
        <v>705</v>
      </c>
      <c r="L100" s="2" t="s">
        <v>706</v>
      </c>
      <c r="M100" s="2" t="s">
        <v>26</v>
      </c>
      <c r="N100" s="8" t="s">
        <v>11</v>
      </c>
      <c r="O100" s="2" t="s">
        <v>26</v>
      </c>
      <c r="P100" s="2" t="s">
        <v>26</v>
      </c>
      <c r="Q100" s="2" t="s">
        <v>26</v>
      </c>
      <c r="R100" s="2" t="s">
        <v>26</v>
      </c>
    </row>
    <row r="101" spans="1:18" x14ac:dyDescent="0.3">
      <c r="A101" s="1" t="s">
        <v>707</v>
      </c>
      <c r="B101" s="2" t="s">
        <v>708</v>
      </c>
      <c r="C101" s="2" t="s">
        <v>709</v>
      </c>
      <c r="D101" s="2" t="s">
        <v>710</v>
      </c>
      <c r="E101" s="2" t="s">
        <v>711</v>
      </c>
      <c r="F101" s="2"/>
      <c r="G101" s="2" t="s">
        <v>712</v>
      </c>
      <c r="H101" s="2" t="s">
        <v>74</v>
      </c>
      <c r="I101" s="2">
        <v>560100</v>
      </c>
      <c r="J101" s="2" t="s">
        <v>36</v>
      </c>
      <c r="K101" s="2" t="s">
        <v>713</v>
      </c>
      <c r="L101" s="2">
        <v>918904443053</v>
      </c>
      <c r="M101" s="2" t="s">
        <v>26</v>
      </c>
      <c r="N101" s="2" t="s">
        <v>26</v>
      </c>
      <c r="O101" s="2" t="s">
        <v>26</v>
      </c>
      <c r="P101" s="2" t="s">
        <v>26</v>
      </c>
      <c r="Q101" s="2" t="s">
        <v>26</v>
      </c>
      <c r="R101" s="2" t="s">
        <v>26</v>
      </c>
    </row>
    <row r="102" spans="1:18" x14ac:dyDescent="0.3">
      <c r="A102" s="1" t="s">
        <v>714</v>
      </c>
      <c r="B102" s="2" t="s">
        <v>715</v>
      </c>
      <c r="C102" s="2" t="s">
        <v>13</v>
      </c>
      <c r="D102" s="2" t="s">
        <v>21</v>
      </c>
      <c r="E102" s="2" t="s">
        <v>716</v>
      </c>
      <c r="F102" s="2"/>
      <c r="G102" s="2" t="s">
        <v>717</v>
      </c>
      <c r="H102" s="2" t="s">
        <v>17</v>
      </c>
      <c r="I102" s="2">
        <v>94132</v>
      </c>
      <c r="J102" s="2" t="s">
        <v>8</v>
      </c>
      <c r="K102" s="2" t="s">
        <v>718</v>
      </c>
      <c r="L102" s="2">
        <v>4159998303</v>
      </c>
      <c r="M102" s="2" t="s">
        <v>26</v>
      </c>
      <c r="N102" s="8" t="s">
        <v>11</v>
      </c>
      <c r="O102" s="2" t="s">
        <v>26</v>
      </c>
      <c r="P102" s="2" t="s">
        <v>26</v>
      </c>
      <c r="Q102" s="2" t="s">
        <v>26</v>
      </c>
      <c r="R102" s="2" t="s">
        <v>26</v>
      </c>
    </row>
    <row r="103" spans="1:18" x14ac:dyDescent="0.3">
      <c r="A103" s="1" t="s">
        <v>719</v>
      </c>
      <c r="B103" s="2" t="s">
        <v>720</v>
      </c>
      <c r="C103" s="2" t="s">
        <v>280</v>
      </c>
      <c r="D103" s="2" t="s">
        <v>721</v>
      </c>
      <c r="E103" s="2" t="s">
        <v>722</v>
      </c>
      <c r="F103" s="2"/>
      <c r="G103" s="2" t="s">
        <v>723</v>
      </c>
      <c r="H103" s="2" t="s">
        <v>7</v>
      </c>
      <c r="I103" s="2">
        <v>2453</v>
      </c>
      <c r="J103" s="2" t="s">
        <v>8</v>
      </c>
      <c r="K103" s="2" t="s">
        <v>724</v>
      </c>
      <c r="L103" s="2" t="s">
        <v>725</v>
      </c>
      <c r="M103" s="2" t="s">
        <v>26</v>
      </c>
      <c r="N103" s="2" t="s">
        <v>26</v>
      </c>
      <c r="O103" s="2" t="s">
        <v>26</v>
      </c>
      <c r="P103" s="2" t="s">
        <v>26</v>
      </c>
      <c r="Q103" s="8" t="s">
        <v>11</v>
      </c>
      <c r="R103" s="2" t="s">
        <v>26</v>
      </c>
    </row>
    <row r="104" spans="1:18" x14ac:dyDescent="0.3">
      <c r="A104" s="1" t="s">
        <v>726</v>
      </c>
      <c r="B104" s="2" t="s">
        <v>687</v>
      </c>
      <c r="C104" s="2" t="s">
        <v>727</v>
      </c>
      <c r="D104" s="2" t="s">
        <v>728</v>
      </c>
      <c r="E104" s="2" t="s">
        <v>729</v>
      </c>
      <c r="F104" s="2"/>
      <c r="G104" s="2" t="s">
        <v>249</v>
      </c>
      <c r="H104" s="2" t="s">
        <v>250</v>
      </c>
      <c r="I104" s="2">
        <v>75252</v>
      </c>
      <c r="J104" s="2" t="s">
        <v>8</v>
      </c>
      <c r="K104" s="2" t="s">
        <v>730</v>
      </c>
      <c r="L104" s="2">
        <v>4699754046</v>
      </c>
      <c r="M104" s="8" t="s">
        <v>11</v>
      </c>
      <c r="N104" s="2" t="s">
        <v>26</v>
      </c>
      <c r="O104" s="2" t="s">
        <v>26</v>
      </c>
      <c r="P104" s="2" t="s">
        <v>26</v>
      </c>
      <c r="Q104" s="2" t="s">
        <v>26</v>
      </c>
      <c r="R104" s="2" t="s">
        <v>26</v>
      </c>
    </row>
    <row r="105" spans="1:18" x14ac:dyDescent="0.3">
      <c r="A105" s="1" t="s">
        <v>731</v>
      </c>
      <c r="B105" s="2" t="s">
        <v>732</v>
      </c>
      <c r="C105" s="2" t="s">
        <v>733</v>
      </c>
      <c r="D105" s="2" t="s">
        <v>734</v>
      </c>
      <c r="E105" s="2" t="s">
        <v>735</v>
      </c>
      <c r="F105" s="2"/>
      <c r="G105" s="2" t="s">
        <v>483</v>
      </c>
      <c r="H105" s="2" t="s">
        <v>17</v>
      </c>
      <c r="I105" s="2">
        <v>94080</v>
      </c>
      <c r="J105" s="2" t="s">
        <v>8</v>
      </c>
      <c r="K105" s="2" t="s">
        <v>736</v>
      </c>
      <c r="L105" s="2">
        <v>9256409382</v>
      </c>
      <c r="M105" s="2" t="s">
        <v>26</v>
      </c>
      <c r="N105" s="2" t="s">
        <v>26</v>
      </c>
      <c r="O105" s="2" t="s">
        <v>26</v>
      </c>
      <c r="P105" s="8" t="s">
        <v>11</v>
      </c>
      <c r="Q105" s="2" t="s">
        <v>26</v>
      </c>
      <c r="R105" s="2" t="s">
        <v>26</v>
      </c>
    </row>
    <row r="106" spans="1:18" x14ac:dyDescent="0.3">
      <c r="A106" s="1" t="s">
        <v>737</v>
      </c>
      <c r="B106" s="2" t="s">
        <v>738</v>
      </c>
      <c r="C106" s="2" t="s">
        <v>191</v>
      </c>
      <c r="D106" s="2" t="s">
        <v>739</v>
      </c>
      <c r="E106" s="2" t="s">
        <v>740</v>
      </c>
      <c r="F106" s="2"/>
      <c r="G106" s="2" t="s">
        <v>95</v>
      </c>
      <c r="H106" s="2" t="s">
        <v>96</v>
      </c>
      <c r="I106" s="2" t="s">
        <v>741</v>
      </c>
      <c r="J106" s="2" t="s">
        <v>98</v>
      </c>
      <c r="K106" s="2" t="s">
        <v>742</v>
      </c>
      <c r="L106" s="2">
        <v>15146929874</v>
      </c>
      <c r="M106" s="8" t="s">
        <v>11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</row>
    <row r="107" spans="1:18" x14ac:dyDescent="0.3">
      <c r="A107" s="1" t="s">
        <v>743</v>
      </c>
      <c r="B107" s="2" t="s">
        <v>744</v>
      </c>
      <c r="C107" s="2" t="s">
        <v>745</v>
      </c>
      <c r="D107" s="2" t="s">
        <v>131</v>
      </c>
      <c r="E107" s="2" t="s">
        <v>132</v>
      </c>
      <c r="F107" s="2"/>
      <c r="G107" s="2" t="s">
        <v>133</v>
      </c>
      <c r="H107" s="2" t="s">
        <v>134</v>
      </c>
      <c r="I107" s="2">
        <v>85714</v>
      </c>
      <c r="J107" s="2" t="s">
        <v>8</v>
      </c>
      <c r="K107" s="2" t="s">
        <v>746</v>
      </c>
      <c r="L107" s="2">
        <v>8774339400</v>
      </c>
      <c r="M107" s="2" t="s">
        <v>26</v>
      </c>
      <c r="N107" s="2" t="s">
        <v>26</v>
      </c>
      <c r="O107" s="2" t="s">
        <v>26</v>
      </c>
      <c r="P107" s="8" t="s">
        <v>11</v>
      </c>
      <c r="Q107" s="2" t="s">
        <v>26</v>
      </c>
      <c r="R107" s="2" t="s">
        <v>26</v>
      </c>
    </row>
    <row r="108" spans="1:18" x14ac:dyDescent="0.3">
      <c r="A108" s="1" t="s">
        <v>747</v>
      </c>
      <c r="B108" s="2" t="s">
        <v>748</v>
      </c>
      <c r="C108" s="2" t="s">
        <v>428</v>
      </c>
      <c r="D108" s="2" t="s">
        <v>749</v>
      </c>
      <c r="E108" s="2" t="s">
        <v>750</v>
      </c>
      <c r="F108" s="2"/>
      <c r="G108" s="2" t="s">
        <v>751</v>
      </c>
      <c r="H108" s="2" t="s">
        <v>7</v>
      </c>
      <c r="I108" s="2">
        <v>2476</v>
      </c>
      <c r="J108" s="2" t="s">
        <v>8</v>
      </c>
      <c r="K108" s="2" t="s">
        <v>752</v>
      </c>
      <c r="L108" s="2" t="s">
        <v>753</v>
      </c>
      <c r="M108" s="2" t="s">
        <v>26</v>
      </c>
      <c r="N108" s="2" t="s">
        <v>26</v>
      </c>
      <c r="O108" s="2" t="s">
        <v>26</v>
      </c>
      <c r="P108" s="2" t="s">
        <v>26</v>
      </c>
      <c r="Q108" s="2" t="s">
        <v>26</v>
      </c>
      <c r="R108" s="2" t="s">
        <v>26</v>
      </c>
    </row>
    <row r="109" spans="1:18" x14ac:dyDescent="0.3">
      <c r="A109" s="1" t="s">
        <v>747</v>
      </c>
      <c r="B109" s="2" t="s">
        <v>754</v>
      </c>
      <c r="C109" s="2" t="s">
        <v>755</v>
      </c>
      <c r="D109" s="2" t="s">
        <v>756</v>
      </c>
      <c r="E109" s="2" t="s">
        <v>757</v>
      </c>
      <c r="F109" s="2"/>
      <c r="G109" s="2" t="s">
        <v>149</v>
      </c>
      <c r="H109" s="2" t="s">
        <v>17</v>
      </c>
      <c r="I109" s="2">
        <v>90505</v>
      </c>
      <c r="J109" s="2" t="s">
        <v>8</v>
      </c>
      <c r="K109" s="2" t="s">
        <v>758</v>
      </c>
      <c r="L109" s="2" t="s">
        <v>759</v>
      </c>
      <c r="M109" s="2" t="s">
        <v>26</v>
      </c>
      <c r="N109" s="2" t="s">
        <v>26</v>
      </c>
      <c r="O109" s="2" t="s">
        <v>26</v>
      </c>
      <c r="P109" s="8" t="s">
        <v>11</v>
      </c>
      <c r="Q109" s="2" t="s">
        <v>26</v>
      </c>
      <c r="R109" s="2" t="s">
        <v>26</v>
      </c>
    </row>
    <row r="110" spans="1:18" x14ac:dyDescent="0.3">
      <c r="A110" s="1" t="s">
        <v>760</v>
      </c>
      <c r="B110" s="2" t="s">
        <v>761</v>
      </c>
      <c r="C110" s="2" t="s">
        <v>762</v>
      </c>
      <c r="D110" s="2" t="s">
        <v>763</v>
      </c>
      <c r="E110" s="2" t="s">
        <v>764</v>
      </c>
      <c r="F110" s="2"/>
      <c r="G110" s="2" t="s">
        <v>765</v>
      </c>
      <c r="H110" s="2" t="s">
        <v>766</v>
      </c>
      <c r="I110" s="2">
        <v>1090</v>
      </c>
      <c r="J110" s="2" t="s">
        <v>767</v>
      </c>
      <c r="K110" s="2" t="s">
        <v>768</v>
      </c>
      <c r="L110" s="2" t="s">
        <v>769</v>
      </c>
      <c r="M110" s="2" t="s">
        <v>26</v>
      </c>
      <c r="N110" s="2" t="s">
        <v>26</v>
      </c>
      <c r="O110" s="2" t="s">
        <v>26</v>
      </c>
      <c r="P110" s="2" t="s">
        <v>26</v>
      </c>
      <c r="Q110" s="8" t="s">
        <v>11</v>
      </c>
      <c r="R110" s="2" t="s">
        <v>26</v>
      </c>
    </row>
    <row r="111" spans="1:18" x14ac:dyDescent="0.3">
      <c r="A111" s="1" t="s">
        <v>770</v>
      </c>
      <c r="B111" s="2" t="s">
        <v>771</v>
      </c>
      <c r="C111" s="2" t="s">
        <v>772</v>
      </c>
      <c r="D111" s="2" t="s">
        <v>422</v>
      </c>
      <c r="E111" s="2" t="s">
        <v>423</v>
      </c>
      <c r="F111" s="2"/>
      <c r="G111" s="2" t="s">
        <v>424</v>
      </c>
      <c r="H111" s="2" t="s">
        <v>17</v>
      </c>
      <c r="I111" s="2">
        <v>92618</v>
      </c>
      <c r="J111" s="2" t="s">
        <v>8</v>
      </c>
      <c r="K111" s="2" t="s">
        <v>773</v>
      </c>
      <c r="L111" s="2" t="s">
        <v>774</v>
      </c>
      <c r="M111" s="2" t="s">
        <v>26</v>
      </c>
      <c r="N111" s="2" t="s">
        <v>26</v>
      </c>
      <c r="O111" s="2" t="s">
        <v>26</v>
      </c>
      <c r="P111" s="8" t="s">
        <v>11</v>
      </c>
      <c r="Q111" s="2" t="s">
        <v>26</v>
      </c>
      <c r="R111" s="2" t="s">
        <v>26</v>
      </c>
    </row>
    <row r="112" spans="1:18" x14ac:dyDescent="0.3">
      <c r="A112" s="1" t="s">
        <v>770</v>
      </c>
      <c r="B112" s="2" t="s">
        <v>775</v>
      </c>
      <c r="C112" s="2" t="s">
        <v>776</v>
      </c>
      <c r="D112" s="2" t="s">
        <v>481</v>
      </c>
      <c r="E112" s="2" t="s">
        <v>777</v>
      </c>
      <c r="F112" s="2"/>
      <c r="G112" s="2" t="s">
        <v>483</v>
      </c>
      <c r="H112" s="2" t="s">
        <v>17</v>
      </c>
      <c r="I112" s="2">
        <v>94080</v>
      </c>
      <c r="J112" s="2" t="s">
        <v>8</v>
      </c>
      <c r="K112" s="2" t="s">
        <v>778</v>
      </c>
      <c r="L112" s="2">
        <v>6505150738</v>
      </c>
      <c r="M112" s="2" t="s">
        <v>26</v>
      </c>
      <c r="N112" s="2" t="s">
        <v>26</v>
      </c>
      <c r="O112" s="2" t="s">
        <v>26</v>
      </c>
      <c r="P112" s="8" t="s">
        <v>11</v>
      </c>
      <c r="Q112" s="2" t="s">
        <v>26</v>
      </c>
      <c r="R112" s="2" t="s">
        <v>26</v>
      </c>
    </row>
    <row r="113" spans="1:18" x14ac:dyDescent="0.3">
      <c r="A113" s="1" t="s">
        <v>770</v>
      </c>
      <c r="B113" s="2" t="s">
        <v>775</v>
      </c>
      <c r="C113" s="2" t="s">
        <v>776</v>
      </c>
      <c r="D113" s="2" t="s">
        <v>481</v>
      </c>
      <c r="E113" s="2" t="s">
        <v>777</v>
      </c>
      <c r="F113" s="2"/>
      <c r="G113" s="2" t="s">
        <v>483</v>
      </c>
      <c r="H113" s="2" t="s">
        <v>17</v>
      </c>
      <c r="I113" s="2">
        <v>94080</v>
      </c>
      <c r="J113" s="2" t="s">
        <v>8</v>
      </c>
      <c r="K113" s="2" t="s">
        <v>778</v>
      </c>
      <c r="L113" s="2">
        <v>6505150738</v>
      </c>
      <c r="M113" s="2" t="s">
        <v>26</v>
      </c>
      <c r="N113" s="2" t="s">
        <v>26</v>
      </c>
      <c r="O113" s="2" t="s">
        <v>26</v>
      </c>
      <c r="P113" s="2" t="s">
        <v>26</v>
      </c>
      <c r="Q113" s="2" t="s">
        <v>26</v>
      </c>
      <c r="R113" s="2" t="s">
        <v>26</v>
      </c>
    </row>
    <row r="114" spans="1:18" x14ac:dyDescent="0.3">
      <c r="A114" s="1" t="s">
        <v>779</v>
      </c>
      <c r="B114" s="2" t="s">
        <v>780</v>
      </c>
      <c r="C114" s="2" t="s">
        <v>781</v>
      </c>
      <c r="D114" s="2" t="s">
        <v>782</v>
      </c>
      <c r="E114" s="2" t="s">
        <v>783</v>
      </c>
      <c r="F114" s="2"/>
      <c r="G114" s="2" t="s">
        <v>149</v>
      </c>
      <c r="H114" s="2" t="s">
        <v>17</v>
      </c>
      <c r="I114" s="2">
        <v>90503</v>
      </c>
      <c r="J114" s="2" t="s">
        <v>8</v>
      </c>
      <c r="K114" s="2" t="s">
        <v>784</v>
      </c>
      <c r="L114" s="2">
        <v>3107823569</v>
      </c>
      <c r="M114" s="2" t="s">
        <v>26</v>
      </c>
      <c r="N114" s="2" t="s">
        <v>26</v>
      </c>
      <c r="O114" s="2" t="s">
        <v>26</v>
      </c>
      <c r="P114" s="8" t="s">
        <v>11</v>
      </c>
      <c r="Q114" s="2" t="s">
        <v>26</v>
      </c>
      <c r="R114" s="2" t="s">
        <v>26</v>
      </c>
    </row>
    <row r="115" spans="1:18" x14ac:dyDescent="0.3">
      <c r="A115" s="1" t="s">
        <v>779</v>
      </c>
      <c r="B115" s="2" t="s">
        <v>785</v>
      </c>
      <c r="C115" s="2" t="s">
        <v>78</v>
      </c>
      <c r="D115" s="2" t="s">
        <v>786</v>
      </c>
      <c r="E115" s="2" t="s">
        <v>787</v>
      </c>
      <c r="F115" s="2" t="s">
        <v>788</v>
      </c>
      <c r="G115" s="2" t="s">
        <v>332</v>
      </c>
      <c r="H115" s="2" t="s">
        <v>17</v>
      </c>
      <c r="I115" s="2">
        <v>90034</v>
      </c>
      <c r="J115" s="2" t="s">
        <v>8</v>
      </c>
      <c r="K115" s="2" t="s">
        <v>789</v>
      </c>
      <c r="L115" s="2" t="s">
        <v>790</v>
      </c>
      <c r="M115" s="8" t="s">
        <v>11</v>
      </c>
      <c r="N115" s="2" t="s">
        <v>26</v>
      </c>
      <c r="O115" s="2" t="s">
        <v>26</v>
      </c>
      <c r="P115" s="2" t="s">
        <v>26</v>
      </c>
      <c r="Q115" s="2" t="s">
        <v>26</v>
      </c>
      <c r="R115" s="2" t="s">
        <v>26</v>
      </c>
    </row>
    <row r="116" spans="1:18" x14ac:dyDescent="0.3">
      <c r="A116" s="1" t="s">
        <v>779</v>
      </c>
      <c r="B116" s="2" t="s">
        <v>791</v>
      </c>
      <c r="C116" s="2" t="s">
        <v>428</v>
      </c>
      <c r="D116" s="2" t="s">
        <v>792</v>
      </c>
      <c r="E116" s="2" t="s">
        <v>793</v>
      </c>
      <c r="F116" s="2"/>
      <c r="G116" s="2" t="s">
        <v>794</v>
      </c>
      <c r="H116" s="2" t="s">
        <v>489</v>
      </c>
      <c r="I116" s="2">
        <v>19477</v>
      </c>
      <c r="J116" s="2" t="s">
        <v>8</v>
      </c>
      <c r="K116" s="2" t="s">
        <v>795</v>
      </c>
      <c r="L116" s="2" t="s">
        <v>796</v>
      </c>
      <c r="M116" s="2" t="s">
        <v>26</v>
      </c>
      <c r="N116" s="2" t="s">
        <v>26</v>
      </c>
      <c r="O116" s="2" t="s">
        <v>26</v>
      </c>
      <c r="P116" s="8" t="s">
        <v>11</v>
      </c>
      <c r="Q116" s="2" t="s">
        <v>26</v>
      </c>
      <c r="R116" s="2" t="s">
        <v>26</v>
      </c>
    </row>
    <row r="117" spans="1:18" x14ac:dyDescent="0.3">
      <c r="A117" s="1" t="s">
        <v>779</v>
      </c>
      <c r="B117" s="2" t="s">
        <v>797</v>
      </c>
      <c r="C117" s="2" t="s">
        <v>798</v>
      </c>
      <c r="D117" s="2" t="s">
        <v>799</v>
      </c>
      <c r="E117" s="2" t="s">
        <v>800</v>
      </c>
      <c r="F117" s="2"/>
      <c r="G117" s="2" t="s">
        <v>801</v>
      </c>
      <c r="H117" s="2" t="s">
        <v>143</v>
      </c>
      <c r="I117" s="2">
        <v>7090</v>
      </c>
      <c r="J117" s="2" t="s">
        <v>8</v>
      </c>
      <c r="K117" s="2" t="s">
        <v>802</v>
      </c>
      <c r="L117" s="2">
        <v>6172907536</v>
      </c>
      <c r="M117" s="2" t="s">
        <v>26</v>
      </c>
      <c r="N117" s="2" t="s">
        <v>26</v>
      </c>
      <c r="O117" s="2" t="s">
        <v>26</v>
      </c>
      <c r="P117" s="8" t="s">
        <v>11</v>
      </c>
      <c r="Q117" s="2" t="s">
        <v>26</v>
      </c>
      <c r="R117" s="2" t="s">
        <v>26</v>
      </c>
    </row>
    <row r="118" spans="1:18" x14ac:dyDescent="0.3">
      <c r="A118" s="1" t="s">
        <v>803</v>
      </c>
      <c r="B118" s="2" t="s">
        <v>804</v>
      </c>
      <c r="C118" s="2" t="s">
        <v>385</v>
      </c>
      <c r="D118" s="2" t="s">
        <v>290</v>
      </c>
      <c r="E118" s="2" t="s">
        <v>805</v>
      </c>
      <c r="F118" s="2" t="s">
        <v>806</v>
      </c>
      <c r="G118" s="2" t="s">
        <v>292</v>
      </c>
      <c r="H118" s="2" t="s">
        <v>293</v>
      </c>
      <c r="I118" s="2" t="s">
        <v>807</v>
      </c>
      <c r="J118" s="2" t="s">
        <v>98</v>
      </c>
      <c r="K118" s="2" t="s">
        <v>808</v>
      </c>
      <c r="L118" s="2">
        <v>5197296966</v>
      </c>
      <c r="M118" s="8" t="s">
        <v>11</v>
      </c>
      <c r="N118" s="2" t="s">
        <v>26</v>
      </c>
      <c r="O118" s="2" t="s">
        <v>26</v>
      </c>
      <c r="P118" s="2" t="s">
        <v>26</v>
      </c>
      <c r="Q118" s="2" t="s">
        <v>26</v>
      </c>
      <c r="R118" s="2" t="s">
        <v>26</v>
      </c>
    </row>
    <row r="119" spans="1:18" x14ac:dyDescent="0.3">
      <c r="A119" s="1" t="s">
        <v>809</v>
      </c>
      <c r="B119" s="2" t="s">
        <v>458</v>
      </c>
      <c r="C119" s="2" t="s">
        <v>428</v>
      </c>
      <c r="D119" s="2" t="s">
        <v>810</v>
      </c>
      <c r="E119" s="2" t="s">
        <v>811</v>
      </c>
      <c r="F119" s="2"/>
      <c r="G119" s="2" t="s">
        <v>16</v>
      </c>
      <c r="H119" s="2" t="s">
        <v>17</v>
      </c>
      <c r="I119" s="2">
        <v>92121</v>
      </c>
      <c r="J119" s="2" t="s">
        <v>8</v>
      </c>
      <c r="K119" s="2" t="s">
        <v>812</v>
      </c>
      <c r="L119" s="2">
        <v>8186053314</v>
      </c>
      <c r="M119" s="2" t="s">
        <v>26</v>
      </c>
      <c r="N119" s="2" t="s">
        <v>26</v>
      </c>
      <c r="O119" s="2" t="s">
        <v>26</v>
      </c>
      <c r="P119" s="8" t="s">
        <v>11</v>
      </c>
      <c r="Q119" s="2" t="s">
        <v>26</v>
      </c>
      <c r="R119" s="2" t="s">
        <v>26</v>
      </c>
    </row>
    <row r="120" spans="1:18" x14ac:dyDescent="0.3">
      <c r="A120" s="1" t="s">
        <v>813</v>
      </c>
      <c r="B120" s="2" t="s">
        <v>814</v>
      </c>
      <c r="C120" s="2" t="s">
        <v>238</v>
      </c>
      <c r="D120" s="2" t="s">
        <v>815</v>
      </c>
      <c r="E120" s="2" t="s">
        <v>816</v>
      </c>
      <c r="F120" s="2" t="s">
        <v>817</v>
      </c>
      <c r="G120" s="2" t="s">
        <v>818</v>
      </c>
      <c r="H120" s="2" t="s">
        <v>74</v>
      </c>
      <c r="I120" s="2" t="s">
        <v>819</v>
      </c>
      <c r="J120" s="2" t="s">
        <v>820</v>
      </c>
      <c r="K120" s="2" t="s">
        <v>821</v>
      </c>
      <c r="L120" s="2">
        <v>871197317</v>
      </c>
      <c r="M120" s="8" t="s">
        <v>11</v>
      </c>
      <c r="N120" s="2" t="s">
        <v>26</v>
      </c>
      <c r="O120" s="2" t="s">
        <v>26</v>
      </c>
      <c r="P120" s="2" t="s">
        <v>26</v>
      </c>
      <c r="Q120" s="2" t="s">
        <v>26</v>
      </c>
      <c r="R120" s="2" t="s">
        <v>26</v>
      </c>
    </row>
    <row r="121" spans="1:18" x14ac:dyDescent="0.3">
      <c r="A121" s="1" t="s">
        <v>822</v>
      </c>
      <c r="B121" s="2" t="s">
        <v>823</v>
      </c>
      <c r="C121" s="2" t="s">
        <v>385</v>
      </c>
      <c r="D121" s="2" t="s">
        <v>824</v>
      </c>
      <c r="E121" s="2" t="s">
        <v>825</v>
      </c>
      <c r="F121" s="2" t="s">
        <v>826</v>
      </c>
      <c r="G121" s="2" t="s">
        <v>827</v>
      </c>
      <c r="H121" s="2" t="s">
        <v>828</v>
      </c>
      <c r="I121" s="2">
        <v>37235</v>
      </c>
      <c r="J121" s="2" t="s">
        <v>8</v>
      </c>
      <c r="K121" s="2" t="s">
        <v>829</v>
      </c>
      <c r="L121" s="2">
        <v>7049757768</v>
      </c>
      <c r="M121" s="8" t="s">
        <v>11</v>
      </c>
      <c r="N121" s="2" t="s">
        <v>26</v>
      </c>
      <c r="O121" s="2" t="s">
        <v>26</v>
      </c>
      <c r="P121" s="2" t="s">
        <v>26</v>
      </c>
      <c r="Q121" s="2" t="s">
        <v>26</v>
      </c>
      <c r="R121" s="2" t="s">
        <v>26</v>
      </c>
    </row>
    <row r="122" spans="1:18" x14ac:dyDescent="0.3">
      <c r="A122" s="1" t="s">
        <v>830</v>
      </c>
      <c r="B122" s="2" t="s">
        <v>831</v>
      </c>
      <c r="C122" s="2" t="s">
        <v>544</v>
      </c>
      <c r="D122" s="2" t="s">
        <v>832</v>
      </c>
      <c r="E122" s="2" t="s">
        <v>833</v>
      </c>
      <c r="F122" s="2"/>
      <c r="G122" s="2" t="s">
        <v>834</v>
      </c>
      <c r="H122" s="2" t="s">
        <v>403</v>
      </c>
      <c r="I122" s="2">
        <v>28104</v>
      </c>
      <c r="J122" s="2" t="s">
        <v>8</v>
      </c>
      <c r="K122" s="2" t="s">
        <v>835</v>
      </c>
      <c r="L122" s="2" t="s">
        <v>836</v>
      </c>
      <c r="M122" s="2" t="s">
        <v>26</v>
      </c>
      <c r="N122" s="2" t="s">
        <v>26</v>
      </c>
      <c r="O122" s="2" t="s">
        <v>26</v>
      </c>
      <c r="P122" s="8" t="s">
        <v>11</v>
      </c>
      <c r="Q122" s="2" t="s">
        <v>26</v>
      </c>
      <c r="R122" s="2" t="s">
        <v>26</v>
      </c>
    </row>
    <row r="123" spans="1:18" x14ac:dyDescent="0.3">
      <c r="A123" s="1" t="s">
        <v>837</v>
      </c>
      <c r="B123" s="2" t="s">
        <v>838</v>
      </c>
      <c r="C123" s="2" t="s">
        <v>839</v>
      </c>
      <c r="D123" s="2" t="s">
        <v>840</v>
      </c>
      <c r="E123" s="2" t="s">
        <v>841</v>
      </c>
      <c r="F123" s="2"/>
      <c r="G123" s="2" t="s">
        <v>842</v>
      </c>
      <c r="H123" s="2" t="s">
        <v>17</v>
      </c>
      <c r="I123" s="2">
        <v>95758</v>
      </c>
      <c r="J123" s="2" t="s">
        <v>8</v>
      </c>
      <c r="K123" s="2" t="s">
        <v>843</v>
      </c>
      <c r="L123" s="2" t="s">
        <v>844</v>
      </c>
      <c r="M123" s="2" t="s">
        <v>26</v>
      </c>
      <c r="N123" s="2" t="s">
        <v>26</v>
      </c>
      <c r="O123" s="2" t="s">
        <v>26</v>
      </c>
      <c r="P123" s="8" t="s">
        <v>11</v>
      </c>
      <c r="Q123" s="2" t="s">
        <v>26</v>
      </c>
      <c r="R123" s="2" t="s">
        <v>26</v>
      </c>
    </row>
    <row r="124" spans="1:18" x14ac:dyDescent="0.3">
      <c r="A124" s="1" t="s">
        <v>845</v>
      </c>
      <c r="B124" s="2" t="s">
        <v>846</v>
      </c>
      <c r="C124" s="2" t="s">
        <v>847</v>
      </c>
      <c r="D124" s="2" t="s">
        <v>290</v>
      </c>
      <c r="E124" s="2" t="s">
        <v>848</v>
      </c>
      <c r="F124" s="2"/>
      <c r="G124" s="2" t="s">
        <v>292</v>
      </c>
      <c r="H124" s="2" t="s">
        <v>293</v>
      </c>
      <c r="I124" s="2" t="s">
        <v>849</v>
      </c>
      <c r="J124" s="2" t="s">
        <v>98</v>
      </c>
      <c r="K124" s="2" t="s">
        <v>850</v>
      </c>
      <c r="L124" s="2">
        <v>6047547753</v>
      </c>
      <c r="M124" s="8" t="s">
        <v>11</v>
      </c>
      <c r="N124" s="2" t="s">
        <v>26</v>
      </c>
      <c r="O124" s="2" t="s">
        <v>26</v>
      </c>
      <c r="P124" s="2" t="s">
        <v>26</v>
      </c>
      <c r="Q124" s="2" t="s">
        <v>26</v>
      </c>
      <c r="R124" s="2" t="s">
        <v>26</v>
      </c>
    </row>
    <row r="125" spans="1:18" x14ac:dyDescent="0.3">
      <c r="A125" s="1" t="s">
        <v>851</v>
      </c>
      <c r="B125" s="2" t="s">
        <v>852</v>
      </c>
      <c r="C125" s="2" t="s">
        <v>253</v>
      </c>
      <c r="D125" s="2" t="s">
        <v>853</v>
      </c>
      <c r="E125" s="2" t="s">
        <v>854</v>
      </c>
      <c r="F125" s="2"/>
      <c r="G125" s="2" t="s">
        <v>855</v>
      </c>
      <c r="H125" s="2" t="s">
        <v>143</v>
      </c>
      <c r="I125" s="2">
        <v>8628</v>
      </c>
      <c r="J125" s="2" t="s">
        <v>8</v>
      </c>
      <c r="K125" s="2" t="s">
        <v>856</v>
      </c>
      <c r="L125" s="2" t="s">
        <v>857</v>
      </c>
      <c r="M125" s="2" t="s">
        <v>26</v>
      </c>
      <c r="N125" s="8" t="s">
        <v>11</v>
      </c>
      <c r="O125" s="2" t="s">
        <v>26</v>
      </c>
      <c r="P125" s="2" t="s">
        <v>26</v>
      </c>
      <c r="Q125" s="2" t="s">
        <v>26</v>
      </c>
      <c r="R125" s="2" t="s">
        <v>26</v>
      </c>
    </row>
    <row r="126" spans="1:18" x14ac:dyDescent="0.3">
      <c r="A126" s="1" t="s">
        <v>851</v>
      </c>
      <c r="B126" s="2" t="s">
        <v>858</v>
      </c>
      <c r="C126" s="2" t="s">
        <v>102</v>
      </c>
      <c r="D126" s="2" t="s">
        <v>859</v>
      </c>
      <c r="E126" s="2" t="s">
        <v>860</v>
      </c>
      <c r="F126" s="2"/>
      <c r="G126" s="2" t="s">
        <v>861</v>
      </c>
      <c r="H126" s="2" t="s">
        <v>143</v>
      </c>
      <c r="I126" s="2">
        <v>8540</v>
      </c>
      <c r="J126" s="2" t="s">
        <v>8</v>
      </c>
      <c r="K126" s="2" t="s">
        <v>862</v>
      </c>
      <c r="L126" s="2">
        <v>6092553677</v>
      </c>
      <c r="M126" s="2" t="s">
        <v>26</v>
      </c>
      <c r="N126" s="2" t="s">
        <v>26</v>
      </c>
      <c r="O126" s="8" t="s">
        <v>11</v>
      </c>
      <c r="P126" s="2" t="s">
        <v>26</v>
      </c>
      <c r="Q126" s="2" t="s">
        <v>26</v>
      </c>
      <c r="R126" s="2" t="s">
        <v>26</v>
      </c>
    </row>
    <row r="127" spans="1:18" x14ac:dyDescent="0.3">
      <c r="A127" s="1" t="s">
        <v>863</v>
      </c>
      <c r="B127" s="2" t="s">
        <v>864</v>
      </c>
      <c r="C127" s="2" t="s">
        <v>280</v>
      </c>
      <c r="D127" s="2" t="s">
        <v>865</v>
      </c>
      <c r="E127" s="2" t="s">
        <v>866</v>
      </c>
      <c r="F127" s="2"/>
      <c r="G127" s="2" t="s">
        <v>867</v>
      </c>
      <c r="H127" s="2" t="s">
        <v>17</v>
      </c>
      <c r="I127" s="2">
        <v>94304</v>
      </c>
      <c r="J127" s="2" t="s">
        <v>8</v>
      </c>
      <c r="K127" s="2" t="s">
        <v>868</v>
      </c>
      <c r="L127" s="2" t="s">
        <v>869</v>
      </c>
      <c r="M127" s="2" t="s">
        <v>26</v>
      </c>
      <c r="N127" s="2" t="s">
        <v>26</v>
      </c>
      <c r="O127" s="2" t="s">
        <v>26</v>
      </c>
      <c r="P127" s="2" t="s">
        <v>26</v>
      </c>
      <c r="Q127" s="8" t="s">
        <v>11</v>
      </c>
      <c r="R127" s="2" t="s">
        <v>26</v>
      </c>
    </row>
    <row r="128" spans="1:18" x14ac:dyDescent="0.3">
      <c r="A128" s="1" t="s">
        <v>870</v>
      </c>
      <c r="B128" s="2" t="s">
        <v>687</v>
      </c>
      <c r="C128" s="2" t="s">
        <v>871</v>
      </c>
      <c r="D128" s="2" t="s">
        <v>872</v>
      </c>
      <c r="E128" s="2" t="s">
        <v>873</v>
      </c>
      <c r="F128" s="2"/>
      <c r="G128" s="2" t="s">
        <v>874</v>
      </c>
      <c r="H128" s="2" t="s">
        <v>875</v>
      </c>
      <c r="I128" s="2">
        <v>35244</v>
      </c>
      <c r="J128" s="2" t="s">
        <v>8</v>
      </c>
      <c r="K128" s="2" t="s">
        <v>876</v>
      </c>
      <c r="L128" s="2" t="s">
        <v>877</v>
      </c>
      <c r="M128" s="2" t="s">
        <v>26</v>
      </c>
      <c r="N128" s="2" t="s">
        <v>26</v>
      </c>
      <c r="O128" s="2" t="s">
        <v>26</v>
      </c>
      <c r="P128" s="8" t="s">
        <v>11</v>
      </c>
      <c r="Q128" s="2" t="s">
        <v>26</v>
      </c>
      <c r="R128" s="2" t="s">
        <v>26</v>
      </c>
    </row>
    <row r="129" spans="1:18" x14ac:dyDescent="0.3">
      <c r="A129" s="1" t="s">
        <v>870</v>
      </c>
      <c r="B129" s="2" t="s">
        <v>878</v>
      </c>
      <c r="C129" s="2" t="s">
        <v>253</v>
      </c>
      <c r="D129" s="2" t="s">
        <v>879</v>
      </c>
      <c r="E129" s="2" t="s">
        <v>880</v>
      </c>
      <c r="F129" s="2"/>
      <c r="G129" s="2" t="s">
        <v>881</v>
      </c>
      <c r="H129" s="2" t="s">
        <v>882</v>
      </c>
      <c r="I129" s="2">
        <v>4072</v>
      </c>
      <c r="J129" s="2" t="s">
        <v>476</v>
      </c>
      <c r="K129" s="2" t="s">
        <v>883</v>
      </c>
      <c r="L129" s="2">
        <v>61413683359</v>
      </c>
      <c r="M129" s="2" t="s">
        <v>26</v>
      </c>
      <c r="N129" s="2" t="s">
        <v>26</v>
      </c>
      <c r="O129" s="2" t="s">
        <v>26</v>
      </c>
      <c r="P129" s="2" t="s">
        <v>26</v>
      </c>
      <c r="Q129" s="8" t="s">
        <v>11</v>
      </c>
      <c r="R129" s="2" t="s">
        <v>26</v>
      </c>
    </row>
    <row r="130" spans="1:18" x14ac:dyDescent="0.3">
      <c r="A130" s="1" t="s">
        <v>870</v>
      </c>
      <c r="B130" s="2" t="s">
        <v>884</v>
      </c>
      <c r="C130" s="2" t="s">
        <v>253</v>
      </c>
      <c r="D130" s="2" t="s">
        <v>885</v>
      </c>
      <c r="E130" s="2" t="s">
        <v>345</v>
      </c>
      <c r="F130" s="2"/>
      <c r="G130" s="2" t="s">
        <v>886</v>
      </c>
      <c r="H130" s="2" t="s">
        <v>403</v>
      </c>
      <c r="I130" s="2">
        <v>27599</v>
      </c>
      <c r="J130" s="2" t="s">
        <v>8</v>
      </c>
      <c r="K130" s="2" t="s">
        <v>887</v>
      </c>
      <c r="L130" s="2" t="s">
        <v>888</v>
      </c>
      <c r="M130" s="2" t="s">
        <v>26</v>
      </c>
      <c r="N130" s="2" t="s">
        <v>26</v>
      </c>
      <c r="O130" s="2" t="s">
        <v>26</v>
      </c>
      <c r="P130" s="2" t="s">
        <v>26</v>
      </c>
      <c r="Q130" s="8" t="s">
        <v>11</v>
      </c>
      <c r="R130" s="2" t="s">
        <v>26</v>
      </c>
    </row>
    <row r="131" spans="1:18" x14ac:dyDescent="0.3">
      <c r="A131" s="1" t="s">
        <v>889</v>
      </c>
      <c r="B131" s="2" t="s">
        <v>890</v>
      </c>
      <c r="C131" s="2" t="s">
        <v>253</v>
      </c>
      <c r="D131" s="2" t="s">
        <v>891</v>
      </c>
      <c r="E131" s="2" t="s">
        <v>273</v>
      </c>
      <c r="F131" s="2" t="s">
        <v>892</v>
      </c>
      <c r="G131" s="2" t="s">
        <v>893</v>
      </c>
      <c r="H131" s="2" t="s">
        <v>74</v>
      </c>
      <c r="I131" s="2" t="s">
        <v>894</v>
      </c>
      <c r="J131" s="2" t="s">
        <v>258</v>
      </c>
      <c r="K131" s="2" t="s">
        <v>895</v>
      </c>
      <c r="L131" s="2" t="s">
        <v>896</v>
      </c>
      <c r="M131" s="2" t="s">
        <v>26</v>
      </c>
      <c r="N131" s="2" t="s">
        <v>26</v>
      </c>
      <c r="O131" s="2" t="s">
        <v>26</v>
      </c>
      <c r="P131" s="2" t="s">
        <v>26</v>
      </c>
      <c r="Q131" s="8" t="s">
        <v>11</v>
      </c>
      <c r="R131" s="2" t="s">
        <v>26</v>
      </c>
    </row>
    <row r="132" spans="1:18" x14ac:dyDescent="0.3">
      <c r="A132" s="1" t="s">
        <v>897</v>
      </c>
      <c r="B132" s="2" t="s">
        <v>898</v>
      </c>
      <c r="C132" s="2" t="s">
        <v>253</v>
      </c>
      <c r="D132" s="2" t="s">
        <v>899</v>
      </c>
      <c r="E132" s="2" t="s">
        <v>900</v>
      </c>
      <c r="F132" s="2"/>
      <c r="G132" s="2" t="s">
        <v>901</v>
      </c>
      <c r="H132" s="2" t="s">
        <v>902</v>
      </c>
      <c r="I132" s="2" t="s">
        <v>903</v>
      </c>
      <c r="J132" s="2" t="s">
        <v>8</v>
      </c>
      <c r="K132" s="2" t="s">
        <v>904</v>
      </c>
      <c r="L132" s="2">
        <v>6142478404</v>
      </c>
      <c r="M132" s="2" t="s">
        <v>26</v>
      </c>
      <c r="N132" s="2" t="s">
        <v>26</v>
      </c>
      <c r="O132" s="2" t="s">
        <v>26</v>
      </c>
      <c r="P132" s="2" t="s">
        <v>26</v>
      </c>
      <c r="Q132" s="8" t="s">
        <v>11</v>
      </c>
      <c r="R132" s="2" t="s">
        <v>26</v>
      </c>
    </row>
    <row r="133" spans="1:18" x14ac:dyDescent="0.3">
      <c r="A133" s="1" t="s">
        <v>905</v>
      </c>
      <c r="B133" s="2" t="s">
        <v>906</v>
      </c>
      <c r="C133" s="2" t="s">
        <v>907</v>
      </c>
      <c r="D133" s="2" t="s">
        <v>131</v>
      </c>
      <c r="E133" s="2" t="s">
        <v>132</v>
      </c>
      <c r="F133" s="2"/>
      <c r="G133" s="2" t="s">
        <v>133</v>
      </c>
      <c r="H133" s="2" t="s">
        <v>134</v>
      </c>
      <c r="I133" s="2">
        <v>85714</v>
      </c>
      <c r="J133" s="2" t="s">
        <v>8</v>
      </c>
      <c r="K133" s="2" t="s">
        <v>908</v>
      </c>
      <c r="L133" s="2" t="s">
        <v>909</v>
      </c>
      <c r="M133" s="2" t="s">
        <v>26</v>
      </c>
      <c r="N133" s="2" t="s">
        <v>26</v>
      </c>
      <c r="O133" s="2" t="s">
        <v>26</v>
      </c>
      <c r="P133" s="8" t="s">
        <v>11</v>
      </c>
      <c r="Q133" s="2" t="s">
        <v>26</v>
      </c>
      <c r="R133" s="2" t="s">
        <v>26</v>
      </c>
    </row>
    <row r="134" spans="1:18" x14ac:dyDescent="0.3">
      <c r="A134" s="1" t="s">
        <v>910</v>
      </c>
      <c r="B134" s="2" t="s">
        <v>911</v>
      </c>
      <c r="C134" s="2" t="s">
        <v>102</v>
      </c>
      <c r="D134" s="2" t="s">
        <v>912</v>
      </c>
      <c r="E134" s="2" t="s">
        <v>913</v>
      </c>
      <c r="F134" s="2"/>
      <c r="G134" s="2" t="s">
        <v>914</v>
      </c>
      <c r="H134" s="2" t="s">
        <v>915</v>
      </c>
      <c r="I134" s="2">
        <v>2602</v>
      </c>
      <c r="J134" s="2" t="s">
        <v>476</v>
      </c>
      <c r="K134" s="2" t="s">
        <v>916</v>
      </c>
      <c r="L134" s="2">
        <v>434308553</v>
      </c>
      <c r="M134" s="2" t="s">
        <v>26</v>
      </c>
      <c r="N134" s="2" t="s">
        <v>26</v>
      </c>
      <c r="O134" s="8" t="s">
        <v>11</v>
      </c>
      <c r="P134" s="2" t="s">
        <v>26</v>
      </c>
      <c r="Q134" s="2" t="s">
        <v>26</v>
      </c>
      <c r="R134" s="2" t="s">
        <v>26</v>
      </c>
    </row>
    <row r="135" spans="1:18" x14ac:dyDescent="0.3">
      <c r="A135" s="1" t="s">
        <v>917</v>
      </c>
      <c r="B135" s="2" t="s">
        <v>918</v>
      </c>
      <c r="C135" s="2" t="s">
        <v>919</v>
      </c>
      <c r="D135" s="2" t="s">
        <v>920</v>
      </c>
      <c r="E135" s="2" t="s">
        <v>921</v>
      </c>
      <c r="F135" s="2"/>
      <c r="G135" s="2" t="s">
        <v>922</v>
      </c>
      <c r="H135" s="2" t="s">
        <v>74</v>
      </c>
      <c r="I135" s="2">
        <v>20143</v>
      </c>
      <c r="J135" s="2" t="s">
        <v>325</v>
      </c>
      <c r="K135" s="2" t="s">
        <v>923</v>
      </c>
      <c r="L135" s="2">
        <v>3513350711</v>
      </c>
      <c r="M135" s="8" t="s">
        <v>11</v>
      </c>
      <c r="N135" s="2" t="s">
        <v>26</v>
      </c>
      <c r="O135" s="2" t="s">
        <v>26</v>
      </c>
      <c r="P135" s="2" t="s">
        <v>26</v>
      </c>
      <c r="Q135" s="2" t="s">
        <v>26</v>
      </c>
      <c r="R135" s="2" t="s">
        <v>26</v>
      </c>
    </row>
    <row r="136" spans="1:18" x14ac:dyDescent="0.3">
      <c r="A136" s="1" t="s">
        <v>924</v>
      </c>
      <c r="B136" s="2" t="s">
        <v>925</v>
      </c>
      <c r="C136" s="2" t="s">
        <v>926</v>
      </c>
      <c r="D136" s="2" t="s">
        <v>927</v>
      </c>
      <c r="E136" s="2" t="s">
        <v>928</v>
      </c>
      <c r="F136" s="2">
        <v>1</v>
      </c>
      <c r="G136" s="2" t="s">
        <v>929</v>
      </c>
      <c r="H136" s="2" t="s">
        <v>195</v>
      </c>
      <c r="I136" s="2">
        <v>11226</v>
      </c>
      <c r="J136" s="2" t="s">
        <v>8</v>
      </c>
      <c r="K136" s="2" t="s">
        <v>930</v>
      </c>
      <c r="L136" s="2">
        <v>9177742579</v>
      </c>
      <c r="M136" s="2" t="s">
        <v>26</v>
      </c>
      <c r="N136" s="2" t="s">
        <v>26</v>
      </c>
      <c r="O136" s="8" t="s">
        <v>11</v>
      </c>
      <c r="P136" s="2" t="s">
        <v>26</v>
      </c>
      <c r="Q136" s="2" t="s">
        <v>26</v>
      </c>
      <c r="R136" s="2" t="s">
        <v>26</v>
      </c>
    </row>
    <row r="137" spans="1:18" x14ac:dyDescent="0.3">
      <c r="A137" s="1" t="s">
        <v>931</v>
      </c>
      <c r="B137" s="2" t="s">
        <v>932</v>
      </c>
      <c r="C137" s="2" t="s">
        <v>933</v>
      </c>
      <c r="D137" s="2" t="s">
        <v>307</v>
      </c>
      <c r="E137" s="2" t="s">
        <v>934</v>
      </c>
      <c r="F137" s="2" t="s">
        <v>935</v>
      </c>
      <c r="G137" s="2" t="s">
        <v>936</v>
      </c>
      <c r="H137" s="2" t="s">
        <v>34</v>
      </c>
      <c r="I137" s="2">
        <v>46168</v>
      </c>
      <c r="J137" s="2" t="s">
        <v>8</v>
      </c>
      <c r="K137" s="2" t="s">
        <v>937</v>
      </c>
      <c r="L137" s="2">
        <v>4046473562</v>
      </c>
      <c r="M137" s="2" t="s">
        <v>26</v>
      </c>
      <c r="N137" s="2" t="s">
        <v>26</v>
      </c>
      <c r="O137" s="8" t="s">
        <v>11</v>
      </c>
      <c r="P137" s="2" t="s">
        <v>26</v>
      </c>
      <c r="Q137" s="2" t="s">
        <v>26</v>
      </c>
      <c r="R137" s="2" t="s">
        <v>26</v>
      </c>
    </row>
    <row r="138" spans="1:18" x14ac:dyDescent="0.3">
      <c r="A138" s="1" t="s">
        <v>938</v>
      </c>
      <c r="B138" s="2" t="s">
        <v>939</v>
      </c>
      <c r="C138" s="2" t="s">
        <v>385</v>
      </c>
      <c r="D138" s="2" t="s">
        <v>940</v>
      </c>
      <c r="E138" s="2" t="s">
        <v>941</v>
      </c>
      <c r="F138" s="2" t="s">
        <v>942</v>
      </c>
      <c r="G138" s="2" t="s">
        <v>943</v>
      </c>
      <c r="H138" s="2" t="s">
        <v>489</v>
      </c>
      <c r="I138" s="2">
        <v>16803</v>
      </c>
      <c r="J138" s="2" t="s">
        <v>8</v>
      </c>
      <c r="K138" s="2" t="s">
        <v>944</v>
      </c>
      <c r="L138" s="2">
        <v>8149549744</v>
      </c>
      <c r="M138" s="8" t="s">
        <v>11</v>
      </c>
      <c r="N138" s="2" t="s">
        <v>26</v>
      </c>
      <c r="O138" s="2" t="s">
        <v>26</v>
      </c>
      <c r="P138" s="2" t="s">
        <v>26</v>
      </c>
      <c r="Q138" s="2" t="s">
        <v>26</v>
      </c>
      <c r="R138" s="2" t="s">
        <v>26</v>
      </c>
    </row>
    <row r="139" spans="1:18" x14ac:dyDescent="0.3">
      <c r="A139" s="1" t="s">
        <v>945</v>
      </c>
      <c r="B139" s="2" t="s">
        <v>946</v>
      </c>
      <c r="C139" s="2" t="s">
        <v>947</v>
      </c>
      <c r="D139" s="2" t="s">
        <v>131</v>
      </c>
      <c r="E139" s="2" t="s">
        <v>132</v>
      </c>
      <c r="F139" s="2"/>
      <c r="G139" s="2" t="s">
        <v>133</v>
      </c>
      <c r="H139" s="2" t="s">
        <v>134</v>
      </c>
      <c r="I139" s="2">
        <v>85714</v>
      </c>
      <c r="J139" s="2" t="s">
        <v>8</v>
      </c>
      <c r="K139" s="2" t="s">
        <v>948</v>
      </c>
      <c r="L139" s="2" t="s">
        <v>136</v>
      </c>
      <c r="M139" s="2" t="s">
        <v>26</v>
      </c>
      <c r="N139" s="2" t="s">
        <v>26</v>
      </c>
      <c r="O139" s="2" t="s">
        <v>26</v>
      </c>
      <c r="P139" s="8" t="s">
        <v>11</v>
      </c>
      <c r="Q139" s="2" t="s">
        <v>26</v>
      </c>
      <c r="R139" s="2" t="s">
        <v>26</v>
      </c>
    </row>
    <row r="140" spans="1:18" x14ac:dyDescent="0.3">
      <c r="A140" s="1" t="s">
        <v>949</v>
      </c>
      <c r="B140" s="2" t="s">
        <v>950</v>
      </c>
      <c r="C140" s="2" t="s">
        <v>13</v>
      </c>
      <c r="D140" s="2" t="s">
        <v>951</v>
      </c>
      <c r="E140" s="2" t="s">
        <v>952</v>
      </c>
      <c r="F140" s="2"/>
      <c r="G140" s="2" t="s">
        <v>953</v>
      </c>
      <c r="H140" s="2" t="s">
        <v>489</v>
      </c>
      <c r="I140" s="2">
        <v>19426</v>
      </c>
      <c r="J140" s="2" t="s">
        <v>8</v>
      </c>
      <c r="K140" s="2" t="s">
        <v>954</v>
      </c>
      <c r="L140" s="2">
        <v>8037356248</v>
      </c>
      <c r="M140" s="2" t="s">
        <v>26</v>
      </c>
      <c r="N140" s="2" t="s">
        <v>26</v>
      </c>
      <c r="O140" s="2" t="s">
        <v>26</v>
      </c>
      <c r="P140" s="8" t="s">
        <v>11</v>
      </c>
      <c r="Q140" s="2" t="s">
        <v>26</v>
      </c>
      <c r="R140" s="2" t="s">
        <v>26</v>
      </c>
    </row>
    <row r="141" spans="1:18" x14ac:dyDescent="0.3">
      <c r="A141" s="1" t="s">
        <v>955</v>
      </c>
      <c r="B141" s="2" t="s">
        <v>956</v>
      </c>
      <c r="C141" s="2" t="s">
        <v>102</v>
      </c>
      <c r="D141" s="2" t="s">
        <v>957</v>
      </c>
      <c r="E141" s="2" t="s">
        <v>958</v>
      </c>
      <c r="F141" s="2"/>
      <c r="G141" s="2" t="s">
        <v>959</v>
      </c>
      <c r="H141" s="2" t="s">
        <v>960</v>
      </c>
      <c r="I141" s="2">
        <v>3052</v>
      </c>
      <c r="J141" s="2" t="s">
        <v>476</v>
      </c>
      <c r="K141" s="2" t="s">
        <v>961</v>
      </c>
      <c r="L141" s="2">
        <v>399039101</v>
      </c>
      <c r="M141" s="2" t="s">
        <v>26</v>
      </c>
      <c r="N141" s="2" t="s">
        <v>26</v>
      </c>
      <c r="O141" s="8" t="s">
        <v>11</v>
      </c>
      <c r="P141" s="2" t="s">
        <v>26</v>
      </c>
      <c r="Q141" s="2" t="s">
        <v>26</v>
      </c>
      <c r="R141" s="2" t="s">
        <v>26</v>
      </c>
    </row>
    <row r="142" spans="1:18" x14ac:dyDescent="0.3">
      <c r="A142" s="1" t="s">
        <v>962</v>
      </c>
      <c r="B142" s="2" t="s">
        <v>963</v>
      </c>
      <c r="C142" s="2" t="s">
        <v>385</v>
      </c>
      <c r="D142" s="2" t="s">
        <v>964</v>
      </c>
      <c r="E142" s="2" t="s">
        <v>965</v>
      </c>
      <c r="F142" s="2"/>
      <c r="G142" s="2" t="s">
        <v>966</v>
      </c>
      <c r="H142" s="2" t="s">
        <v>74</v>
      </c>
      <c r="I142" s="2">
        <v>9190401</v>
      </c>
      <c r="J142" s="2" t="s">
        <v>967</v>
      </c>
      <c r="K142" s="2" t="s">
        <v>968</v>
      </c>
      <c r="L142" s="2">
        <f>972-50-4992799</f>
        <v>-4991877</v>
      </c>
      <c r="M142" s="8" t="s">
        <v>11</v>
      </c>
      <c r="N142" s="2" t="s">
        <v>26</v>
      </c>
      <c r="O142" s="2" t="s">
        <v>26</v>
      </c>
      <c r="P142" s="2" t="s">
        <v>26</v>
      </c>
      <c r="Q142" s="2" t="s">
        <v>26</v>
      </c>
      <c r="R142" s="2" t="s">
        <v>26</v>
      </c>
    </row>
    <row r="143" spans="1:18" x14ac:dyDescent="0.3">
      <c r="A143" s="1" t="s">
        <v>969</v>
      </c>
      <c r="B143" s="2" t="s">
        <v>970</v>
      </c>
      <c r="C143" s="2" t="s">
        <v>971</v>
      </c>
      <c r="D143" s="2" t="s">
        <v>972</v>
      </c>
      <c r="E143" s="2" t="s">
        <v>973</v>
      </c>
      <c r="F143" s="2"/>
      <c r="G143" s="2" t="s">
        <v>974</v>
      </c>
      <c r="H143" s="2" t="s">
        <v>143</v>
      </c>
      <c r="I143" s="2">
        <v>8094</v>
      </c>
      <c r="J143" s="2" t="s">
        <v>8</v>
      </c>
      <c r="K143" s="2" t="s">
        <v>975</v>
      </c>
      <c r="L143" s="2">
        <v>8567254079</v>
      </c>
      <c r="M143" s="2" t="s">
        <v>26</v>
      </c>
      <c r="N143" s="2" t="s">
        <v>26</v>
      </c>
      <c r="O143" s="2" t="s">
        <v>26</v>
      </c>
      <c r="P143" s="8" t="s">
        <v>11</v>
      </c>
      <c r="Q143" s="2" t="s">
        <v>26</v>
      </c>
      <c r="R143" s="2" t="s">
        <v>26</v>
      </c>
    </row>
    <row r="144" spans="1:18" x14ac:dyDescent="0.3">
      <c r="A144" s="1" t="s">
        <v>976</v>
      </c>
      <c r="B144" s="2" t="s">
        <v>977</v>
      </c>
      <c r="C144" s="2" t="s">
        <v>978</v>
      </c>
      <c r="D144" s="2" t="s">
        <v>979</v>
      </c>
      <c r="E144" s="2" t="s">
        <v>980</v>
      </c>
      <c r="F144" s="2" t="s">
        <v>981</v>
      </c>
      <c r="G144" s="2" t="s">
        <v>982</v>
      </c>
      <c r="H144" s="2" t="s">
        <v>983</v>
      </c>
      <c r="I144" s="2">
        <v>30602</v>
      </c>
      <c r="J144" s="2" t="s">
        <v>8</v>
      </c>
      <c r="K144" s="2" t="s">
        <v>984</v>
      </c>
      <c r="L144" s="2" t="s">
        <v>985</v>
      </c>
      <c r="M144" s="2" t="s">
        <v>26</v>
      </c>
      <c r="N144" s="2" t="s">
        <v>26</v>
      </c>
      <c r="O144" s="2" t="s">
        <v>26</v>
      </c>
      <c r="P144" s="2" t="s">
        <v>26</v>
      </c>
      <c r="Q144" s="8" t="s">
        <v>11</v>
      </c>
      <c r="R144" s="2" t="s">
        <v>26</v>
      </c>
    </row>
    <row r="145" spans="1:18" x14ac:dyDescent="0.3">
      <c r="A145" s="1" t="s">
        <v>986</v>
      </c>
      <c r="B145" s="2" t="s">
        <v>987</v>
      </c>
      <c r="C145" s="2" t="s">
        <v>988</v>
      </c>
      <c r="D145" s="2" t="s">
        <v>989</v>
      </c>
      <c r="E145" s="2" t="s">
        <v>990</v>
      </c>
      <c r="F145" s="2" t="s">
        <v>991</v>
      </c>
      <c r="G145" s="2" t="s">
        <v>992</v>
      </c>
      <c r="H145" s="2" t="s">
        <v>74</v>
      </c>
      <c r="I145" s="2" t="s">
        <v>993</v>
      </c>
      <c r="J145" s="2" t="s">
        <v>258</v>
      </c>
      <c r="K145" s="2" t="s">
        <v>994</v>
      </c>
      <c r="L145" s="2">
        <v>4407761274393</v>
      </c>
      <c r="M145" s="8" t="s">
        <v>11</v>
      </c>
      <c r="N145" s="2" t="s">
        <v>26</v>
      </c>
      <c r="O145" s="2" t="s">
        <v>26</v>
      </c>
      <c r="P145" s="2" t="s">
        <v>26</v>
      </c>
      <c r="Q145" s="2" t="s">
        <v>26</v>
      </c>
      <c r="R145" s="2" t="s">
        <v>26</v>
      </c>
    </row>
    <row r="146" spans="1:18" x14ac:dyDescent="0.3">
      <c r="A146" s="1" t="s">
        <v>995</v>
      </c>
      <c r="B146" s="2" t="s">
        <v>996</v>
      </c>
      <c r="C146" s="2" t="s">
        <v>997</v>
      </c>
      <c r="D146" s="2" t="s">
        <v>998</v>
      </c>
      <c r="E146" s="2" t="s">
        <v>999</v>
      </c>
      <c r="F146" s="2"/>
      <c r="G146" s="2" t="s">
        <v>922</v>
      </c>
      <c r="H146" s="2" t="s">
        <v>74</v>
      </c>
      <c r="I146" s="2" t="s">
        <v>1000</v>
      </c>
      <c r="J146" s="2" t="s">
        <v>325</v>
      </c>
      <c r="K146" s="2" t="s">
        <v>1001</v>
      </c>
      <c r="L146" s="2">
        <v>3455464171</v>
      </c>
      <c r="M146" s="2" t="s">
        <v>26</v>
      </c>
      <c r="N146" s="2" t="s">
        <v>26</v>
      </c>
      <c r="O146" s="2" t="s">
        <v>26</v>
      </c>
      <c r="P146" s="8" t="s">
        <v>11</v>
      </c>
      <c r="Q146" s="2" t="s">
        <v>26</v>
      </c>
      <c r="R146" s="2" t="s">
        <v>26</v>
      </c>
    </row>
    <row r="147" spans="1:18" x14ac:dyDescent="0.3">
      <c r="A147" s="1" t="s">
        <v>1002</v>
      </c>
      <c r="B147" s="2" t="s">
        <v>1003</v>
      </c>
      <c r="C147" s="2" t="s">
        <v>365</v>
      </c>
      <c r="D147" s="2" t="s">
        <v>1004</v>
      </c>
      <c r="E147" s="2" t="s">
        <v>1005</v>
      </c>
      <c r="F147" s="2"/>
      <c r="G147" s="2" t="s">
        <v>1006</v>
      </c>
      <c r="H147" s="2" t="s">
        <v>403</v>
      </c>
      <c r="I147" s="2">
        <v>28557</v>
      </c>
      <c r="J147" s="2" t="s">
        <v>8</v>
      </c>
      <c r="K147" s="2" t="s">
        <v>1007</v>
      </c>
      <c r="L147" s="2">
        <v>5185774234</v>
      </c>
      <c r="M147" s="8" t="s">
        <v>11</v>
      </c>
      <c r="N147" s="2" t="s">
        <v>26</v>
      </c>
      <c r="O147" s="2" t="s">
        <v>26</v>
      </c>
      <c r="P147" s="2" t="s">
        <v>26</v>
      </c>
      <c r="Q147" s="2" t="s">
        <v>26</v>
      </c>
      <c r="R147" s="2" t="s">
        <v>26</v>
      </c>
    </row>
    <row r="148" spans="1:18" x14ac:dyDescent="0.3">
      <c r="A148" s="1" t="s">
        <v>1002</v>
      </c>
      <c r="B148" s="2" t="s">
        <v>1008</v>
      </c>
      <c r="C148" s="2" t="s">
        <v>1009</v>
      </c>
      <c r="D148" s="2" t="s">
        <v>400</v>
      </c>
      <c r="E148" s="2" t="s">
        <v>1010</v>
      </c>
      <c r="F148" s="2"/>
      <c r="G148" s="2" t="s">
        <v>402</v>
      </c>
      <c r="H148" s="2" t="s">
        <v>403</v>
      </c>
      <c r="I148" s="2">
        <v>28269</v>
      </c>
      <c r="J148" s="2" t="s">
        <v>8</v>
      </c>
      <c r="K148" s="2" t="s">
        <v>1011</v>
      </c>
      <c r="L148" s="2" t="s">
        <v>1012</v>
      </c>
      <c r="M148" s="2" t="s">
        <v>26</v>
      </c>
      <c r="N148" s="2" t="s">
        <v>26</v>
      </c>
      <c r="O148" s="2" t="s">
        <v>26</v>
      </c>
      <c r="P148" s="8" t="s">
        <v>11</v>
      </c>
      <c r="Q148" s="2" t="s">
        <v>26</v>
      </c>
      <c r="R148" s="2" t="s">
        <v>26</v>
      </c>
    </row>
    <row r="149" spans="1:18" x14ac:dyDescent="0.3">
      <c r="A149" s="1" t="s">
        <v>1002</v>
      </c>
      <c r="B149" s="2" t="s">
        <v>1013</v>
      </c>
      <c r="C149" s="2" t="s">
        <v>1014</v>
      </c>
      <c r="D149" s="2" t="s">
        <v>386</v>
      </c>
      <c r="E149" s="2" t="s">
        <v>1015</v>
      </c>
      <c r="F149" s="2"/>
      <c r="G149" s="2" t="s">
        <v>389</v>
      </c>
      <c r="H149" s="2" t="s">
        <v>34</v>
      </c>
      <c r="I149" s="2">
        <v>47907</v>
      </c>
      <c r="J149" s="2" t="s">
        <v>8</v>
      </c>
      <c r="K149" s="2" t="s">
        <v>1016</v>
      </c>
      <c r="L149" s="2">
        <v>7654963346</v>
      </c>
      <c r="M149" s="2" t="s">
        <v>26</v>
      </c>
      <c r="N149" s="2" t="s">
        <v>26</v>
      </c>
      <c r="O149" s="2" t="s">
        <v>26</v>
      </c>
      <c r="P149" s="2" t="s">
        <v>26</v>
      </c>
      <c r="Q149" s="8" t="s">
        <v>11</v>
      </c>
      <c r="R149" s="2" t="s">
        <v>26</v>
      </c>
    </row>
    <row r="150" spans="1:18" x14ac:dyDescent="0.3">
      <c r="A150" s="1" t="s">
        <v>1002</v>
      </c>
      <c r="B150" s="2" t="s">
        <v>1017</v>
      </c>
      <c r="C150" s="2" t="s">
        <v>280</v>
      </c>
      <c r="D150" s="2" t="s">
        <v>1018</v>
      </c>
      <c r="E150" s="2" t="s">
        <v>1019</v>
      </c>
      <c r="F150" s="2" t="s">
        <v>1020</v>
      </c>
      <c r="G150" s="2" t="s">
        <v>1021</v>
      </c>
      <c r="H150" s="2" t="s">
        <v>1022</v>
      </c>
      <c r="I150" s="2">
        <v>6605</v>
      </c>
      <c r="J150" s="2" t="s">
        <v>8</v>
      </c>
      <c r="K150" s="2" t="s">
        <v>1023</v>
      </c>
      <c r="L150" s="2">
        <v>8456643558</v>
      </c>
      <c r="M150" s="2" t="s">
        <v>26</v>
      </c>
      <c r="N150" s="8" t="s">
        <v>11</v>
      </c>
      <c r="O150" s="2" t="s">
        <v>26</v>
      </c>
      <c r="P150" s="2" t="s">
        <v>26</v>
      </c>
      <c r="Q150" s="2" t="s">
        <v>26</v>
      </c>
      <c r="R150" s="2" t="s">
        <v>26</v>
      </c>
    </row>
    <row r="151" spans="1:18" x14ac:dyDescent="0.3">
      <c r="A151" s="1" t="s">
        <v>1024</v>
      </c>
      <c r="B151" s="2" t="s">
        <v>1025</v>
      </c>
      <c r="C151" s="2" t="s">
        <v>471</v>
      </c>
      <c r="D151" s="2" t="s">
        <v>1026</v>
      </c>
      <c r="E151" s="2" t="s">
        <v>1027</v>
      </c>
      <c r="F151" s="2"/>
      <c r="G151" s="2" t="s">
        <v>1028</v>
      </c>
      <c r="H151" s="2" t="s">
        <v>74</v>
      </c>
      <c r="I151" s="2" t="s">
        <v>1029</v>
      </c>
      <c r="J151" s="2" t="s">
        <v>258</v>
      </c>
      <c r="K151" s="2" t="s">
        <v>1030</v>
      </c>
      <c r="L151" s="2" t="s">
        <v>1031</v>
      </c>
      <c r="M151" s="8" t="s">
        <v>11</v>
      </c>
      <c r="N151" s="2" t="s">
        <v>26</v>
      </c>
      <c r="O151" s="2" t="s">
        <v>26</v>
      </c>
      <c r="P151" s="2" t="s">
        <v>26</v>
      </c>
      <c r="Q151" s="2" t="s">
        <v>26</v>
      </c>
      <c r="R151" s="2" t="s">
        <v>26</v>
      </c>
    </row>
    <row r="152" spans="1:18" x14ac:dyDescent="0.3">
      <c r="A152" s="1" t="s">
        <v>1032</v>
      </c>
      <c r="B152" s="2" t="s">
        <v>1033</v>
      </c>
      <c r="C152" s="2" t="s">
        <v>91</v>
      </c>
      <c r="D152" s="2" t="s">
        <v>1034</v>
      </c>
      <c r="E152" s="2" t="s">
        <v>1035</v>
      </c>
      <c r="F152" s="2"/>
      <c r="G152" s="2" t="s">
        <v>1036</v>
      </c>
      <c r="H152" s="2" t="s">
        <v>17</v>
      </c>
      <c r="I152" s="2">
        <v>94607</v>
      </c>
      <c r="J152" s="2" t="s">
        <v>8</v>
      </c>
      <c r="K152" s="2" t="s">
        <v>1037</v>
      </c>
      <c r="L152" s="2" t="s">
        <v>1038</v>
      </c>
      <c r="M152" s="2" t="s">
        <v>26</v>
      </c>
      <c r="N152" s="2" t="s">
        <v>26</v>
      </c>
      <c r="O152" s="2" t="s">
        <v>26</v>
      </c>
      <c r="P152" s="8" t="s">
        <v>11</v>
      </c>
      <c r="Q152" s="2" t="s">
        <v>26</v>
      </c>
      <c r="R152" s="2" t="s">
        <v>26</v>
      </c>
    </row>
    <row r="153" spans="1:18" x14ac:dyDescent="0.3">
      <c r="A153" s="1" t="s">
        <v>1039</v>
      </c>
      <c r="B153" s="2" t="s">
        <v>1040</v>
      </c>
      <c r="C153" s="2"/>
      <c r="D153" s="2" t="s">
        <v>519</v>
      </c>
      <c r="E153" s="2"/>
      <c r="F153" s="2"/>
      <c r="G153" s="2"/>
      <c r="H153" s="2"/>
      <c r="I153" s="2"/>
      <c r="J153" s="2" t="s">
        <v>8</v>
      </c>
      <c r="K153" s="2" t="s">
        <v>1041</v>
      </c>
      <c r="L153" s="2" t="s">
        <v>1042</v>
      </c>
      <c r="M153" s="2" t="s">
        <v>26</v>
      </c>
      <c r="N153" s="2" t="s">
        <v>26</v>
      </c>
      <c r="O153" s="2" t="s">
        <v>26</v>
      </c>
      <c r="P153" s="8" t="s">
        <v>11</v>
      </c>
      <c r="Q153" s="2" t="s">
        <v>26</v>
      </c>
      <c r="R153" s="2" t="s">
        <v>26</v>
      </c>
    </row>
    <row r="154" spans="1:18" x14ac:dyDescent="0.3">
      <c r="A154" s="1" t="s">
        <v>1043</v>
      </c>
      <c r="B154" s="2" t="s">
        <v>1044</v>
      </c>
      <c r="C154" s="2" t="s">
        <v>280</v>
      </c>
      <c r="D154" s="2" t="s">
        <v>1045</v>
      </c>
      <c r="E154" s="2" t="s">
        <v>1046</v>
      </c>
      <c r="F154" s="2" t="s">
        <v>1047</v>
      </c>
      <c r="G154" s="2" t="s">
        <v>1048</v>
      </c>
      <c r="H154" s="2" t="s">
        <v>74</v>
      </c>
      <c r="I154" s="2" t="s">
        <v>1049</v>
      </c>
      <c r="J154" s="2" t="s">
        <v>1050</v>
      </c>
      <c r="K154" s="2" t="s">
        <v>1051</v>
      </c>
      <c r="L154" s="2">
        <v>971562027633</v>
      </c>
      <c r="M154" s="2" t="s">
        <v>26</v>
      </c>
      <c r="N154" s="2" t="s">
        <v>26</v>
      </c>
      <c r="O154" s="2" t="s">
        <v>26</v>
      </c>
      <c r="P154" s="2" t="s">
        <v>26</v>
      </c>
      <c r="Q154" s="8" t="s">
        <v>11</v>
      </c>
      <c r="R154" s="2" t="s">
        <v>26</v>
      </c>
    </row>
    <row r="155" spans="1:18" x14ac:dyDescent="0.3">
      <c r="A155" s="1" t="s">
        <v>1053</v>
      </c>
      <c r="B155" s="2" t="s">
        <v>1054</v>
      </c>
      <c r="C155" s="2" t="s">
        <v>244</v>
      </c>
      <c r="D155" s="2" t="s">
        <v>366</v>
      </c>
      <c r="E155" s="2" t="s">
        <v>1055</v>
      </c>
      <c r="F155" s="2" t="s">
        <v>23</v>
      </c>
      <c r="G155" s="2" t="s">
        <v>1056</v>
      </c>
      <c r="H155" s="2" t="s">
        <v>195</v>
      </c>
      <c r="I155" s="2">
        <v>10458</v>
      </c>
      <c r="J155" s="2" t="s">
        <v>8</v>
      </c>
      <c r="K155" s="2" t="s">
        <v>1057</v>
      </c>
      <c r="L155" s="2">
        <v>6084403804</v>
      </c>
      <c r="M155" s="2" t="s">
        <v>26</v>
      </c>
      <c r="N155" s="2" t="s">
        <v>26</v>
      </c>
      <c r="O155" s="2" t="s">
        <v>26</v>
      </c>
      <c r="P155" s="2" t="s">
        <v>26</v>
      </c>
      <c r="Q155" s="2" t="s">
        <v>26</v>
      </c>
      <c r="R155" s="8" t="s">
        <v>11</v>
      </c>
    </row>
    <row r="156" spans="1:18" x14ac:dyDescent="0.3">
      <c r="A156" s="1" t="s">
        <v>1058</v>
      </c>
      <c r="B156" s="2" t="s">
        <v>1059</v>
      </c>
      <c r="C156" s="2" t="s">
        <v>1060</v>
      </c>
      <c r="D156" s="2" t="s">
        <v>1061</v>
      </c>
      <c r="E156" s="2" t="s">
        <v>1062</v>
      </c>
      <c r="F156" s="2" t="s">
        <v>1063</v>
      </c>
      <c r="G156" s="2" t="s">
        <v>6</v>
      </c>
      <c r="H156" s="2" t="s">
        <v>7</v>
      </c>
      <c r="I156" s="2">
        <v>2142</v>
      </c>
      <c r="J156" s="2" t="s">
        <v>8</v>
      </c>
      <c r="K156" s="2" t="s">
        <v>1064</v>
      </c>
      <c r="L156" s="2">
        <v>3392236143</v>
      </c>
      <c r="M156" s="2" t="s">
        <v>26</v>
      </c>
      <c r="N156" s="2" t="s">
        <v>26</v>
      </c>
      <c r="O156" s="2" t="s">
        <v>26</v>
      </c>
      <c r="P156" s="8" t="s">
        <v>11</v>
      </c>
      <c r="Q156" s="2" t="s">
        <v>26</v>
      </c>
      <c r="R156" s="2" t="s">
        <v>26</v>
      </c>
    </row>
    <row r="157" spans="1:18" x14ac:dyDescent="0.3">
      <c r="A157" s="1" t="s">
        <v>1058</v>
      </c>
      <c r="B157" s="2" t="s">
        <v>190</v>
      </c>
      <c r="C157" s="2" t="s">
        <v>1065</v>
      </c>
      <c r="D157" s="2" t="s">
        <v>1066</v>
      </c>
      <c r="E157" s="2" t="s">
        <v>1067</v>
      </c>
      <c r="F157" s="2" t="s">
        <v>1068</v>
      </c>
      <c r="G157" s="2" t="s">
        <v>1069</v>
      </c>
      <c r="H157" s="2" t="s">
        <v>74</v>
      </c>
      <c r="I157" s="2">
        <v>300270</v>
      </c>
      <c r="J157" s="2" t="s">
        <v>509</v>
      </c>
      <c r="K157" s="2" t="s">
        <v>1070</v>
      </c>
      <c r="L157" s="2">
        <v>13602196815</v>
      </c>
      <c r="M157" s="2" t="s">
        <v>26</v>
      </c>
      <c r="N157" s="2" t="s">
        <v>26</v>
      </c>
      <c r="O157" s="2" t="s">
        <v>26</v>
      </c>
      <c r="P157" s="8" t="s">
        <v>11</v>
      </c>
      <c r="Q157" s="2" t="s">
        <v>26</v>
      </c>
      <c r="R157" s="2" t="s">
        <v>26</v>
      </c>
    </row>
    <row r="158" spans="1:18" x14ac:dyDescent="0.3">
      <c r="A158" s="1" t="s">
        <v>1071</v>
      </c>
      <c r="B158" s="2" t="s">
        <v>1072</v>
      </c>
      <c r="C158" s="2" t="s">
        <v>1073</v>
      </c>
      <c r="D158" s="2" t="s">
        <v>1074</v>
      </c>
      <c r="E158" s="2" t="s">
        <v>1075</v>
      </c>
      <c r="F158" s="2" t="s">
        <v>1076</v>
      </c>
      <c r="G158" s="2" t="s">
        <v>1077</v>
      </c>
      <c r="H158" s="2" t="s">
        <v>17</v>
      </c>
      <c r="I158" s="2">
        <v>93065</v>
      </c>
      <c r="J158" s="2" t="s">
        <v>8</v>
      </c>
      <c r="K158" s="2" t="s">
        <v>1078</v>
      </c>
      <c r="L158" s="2">
        <v>7654184772</v>
      </c>
      <c r="M158" s="2" t="s">
        <v>26</v>
      </c>
      <c r="N158" s="2" t="s">
        <v>26</v>
      </c>
      <c r="O158" s="2" t="s">
        <v>26</v>
      </c>
      <c r="P158" s="8" t="s">
        <v>11</v>
      </c>
      <c r="Q158" s="2" t="s">
        <v>26</v>
      </c>
      <c r="R158" s="2" t="s">
        <v>26</v>
      </c>
    </row>
    <row r="159" spans="1:18" x14ac:dyDescent="0.3">
      <c r="A159" s="1" t="s">
        <v>1079</v>
      </c>
      <c r="B159" s="2" t="s">
        <v>1080</v>
      </c>
      <c r="C159" s="2" t="s">
        <v>1081</v>
      </c>
      <c r="D159" s="2" t="s">
        <v>1082</v>
      </c>
      <c r="E159" s="2" t="s">
        <v>1083</v>
      </c>
      <c r="F159" s="2"/>
      <c r="G159" s="2" t="s">
        <v>1084</v>
      </c>
      <c r="H159" s="2" t="s">
        <v>74</v>
      </c>
      <c r="I159" s="2">
        <v>2970</v>
      </c>
      <c r="J159" s="2" t="s">
        <v>171</v>
      </c>
      <c r="K159" s="2" t="s">
        <v>1085</v>
      </c>
      <c r="L159" s="2">
        <v>4529923308</v>
      </c>
      <c r="M159" s="8" t="s">
        <v>11</v>
      </c>
      <c r="N159" s="2" t="s">
        <v>26</v>
      </c>
      <c r="O159" s="2" t="s">
        <v>26</v>
      </c>
      <c r="P159" s="2" t="s">
        <v>26</v>
      </c>
      <c r="Q159" s="2" t="s">
        <v>26</v>
      </c>
      <c r="R159" s="2" t="s">
        <v>26</v>
      </c>
    </row>
    <row r="160" spans="1:18" x14ac:dyDescent="0.3">
      <c r="A160" s="1" t="s">
        <v>1086</v>
      </c>
      <c r="B160" s="2" t="s">
        <v>1087</v>
      </c>
      <c r="C160" s="2" t="s">
        <v>1088</v>
      </c>
      <c r="D160" s="2" t="s">
        <v>1089</v>
      </c>
      <c r="E160" s="2" t="s">
        <v>1090</v>
      </c>
      <c r="F160" s="2"/>
      <c r="G160" s="2" t="s">
        <v>1091</v>
      </c>
      <c r="H160" s="2" t="s">
        <v>17</v>
      </c>
      <c r="I160" s="2">
        <v>92128</v>
      </c>
      <c r="J160" s="2" t="s">
        <v>8</v>
      </c>
      <c r="K160" s="2" t="s">
        <v>1092</v>
      </c>
      <c r="L160" s="2">
        <v>8583537677</v>
      </c>
      <c r="M160" s="2" t="s">
        <v>26</v>
      </c>
      <c r="N160" s="8" t="s">
        <v>11</v>
      </c>
      <c r="O160" s="2" t="s">
        <v>26</v>
      </c>
      <c r="P160" s="2" t="s">
        <v>26</v>
      </c>
      <c r="Q160" s="2" t="s">
        <v>26</v>
      </c>
      <c r="R160" s="2" t="s">
        <v>26</v>
      </c>
    </row>
    <row r="161" spans="1:18" x14ac:dyDescent="0.3">
      <c r="A161" s="1" t="s">
        <v>1093</v>
      </c>
      <c r="B161" s="2" t="s">
        <v>1094</v>
      </c>
      <c r="C161" s="2" t="s">
        <v>253</v>
      </c>
      <c r="D161" s="2" t="s">
        <v>1095</v>
      </c>
      <c r="E161" s="2" t="s">
        <v>1096</v>
      </c>
      <c r="F161" s="2"/>
      <c r="G161" s="2" t="s">
        <v>116</v>
      </c>
      <c r="H161" s="2" t="s">
        <v>17</v>
      </c>
      <c r="I161" s="2">
        <v>92093</v>
      </c>
      <c r="J161" s="2" t="s">
        <v>8</v>
      </c>
      <c r="K161" s="2" t="s">
        <v>1097</v>
      </c>
      <c r="L161" s="2" t="s">
        <v>1098</v>
      </c>
      <c r="M161" s="2" t="s">
        <v>26</v>
      </c>
      <c r="N161" s="2" t="s">
        <v>26</v>
      </c>
      <c r="O161" s="2" t="s">
        <v>26</v>
      </c>
      <c r="P161" s="2" t="s">
        <v>26</v>
      </c>
      <c r="Q161" s="8" t="s">
        <v>11</v>
      </c>
      <c r="R161" s="2" t="s">
        <v>26</v>
      </c>
    </row>
    <row r="162" spans="1:18" x14ac:dyDescent="0.3">
      <c r="A162" s="1" t="s">
        <v>1099</v>
      </c>
      <c r="B162" s="2" t="s">
        <v>1100</v>
      </c>
      <c r="C162" s="2" t="s">
        <v>1101</v>
      </c>
      <c r="D162" s="2" t="s">
        <v>756</v>
      </c>
      <c r="E162" s="2" t="s">
        <v>1102</v>
      </c>
      <c r="F162" s="2"/>
      <c r="G162" s="2" t="s">
        <v>1103</v>
      </c>
      <c r="H162" s="2" t="s">
        <v>17</v>
      </c>
      <c r="I162" s="2">
        <v>90505</v>
      </c>
      <c r="J162" s="2" t="s">
        <v>8</v>
      </c>
      <c r="K162" s="2" t="s">
        <v>1104</v>
      </c>
      <c r="L162" s="2" t="s">
        <v>1105</v>
      </c>
      <c r="M162" s="2" t="s">
        <v>26</v>
      </c>
      <c r="N162" s="2" t="s">
        <v>26</v>
      </c>
      <c r="O162" s="2" t="s">
        <v>26</v>
      </c>
      <c r="P162" s="8" t="s">
        <v>11</v>
      </c>
      <c r="Q162" s="2" t="s">
        <v>26</v>
      </c>
      <c r="R162" s="2" t="s">
        <v>26</v>
      </c>
    </row>
    <row r="163" spans="1:18" x14ac:dyDescent="0.3">
      <c r="A163" s="1" t="s">
        <v>1099</v>
      </c>
      <c r="B163" s="2" t="s">
        <v>1106</v>
      </c>
      <c r="C163" s="2" t="s">
        <v>1107</v>
      </c>
      <c r="D163" s="2" t="s">
        <v>1108</v>
      </c>
      <c r="E163" s="2" t="s">
        <v>1109</v>
      </c>
      <c r="F163" s="2"/>
      <c r="G163" s="2" t="s">
        <v>1110</v>
      </c>
      <c r="H163" s="2" t="s">
        <v>74</v>
      </c>
      <c r="I163" s="2">
        <v>128</v>
      </c>
      <c r="J163" s="2" t="s">
        <v>325</v>
      </c>
      <c r="K163" s="2" t="s">
        <v>1111</v>
      </c>
      <c r="L163" s="2">
        <v>393478846567</v>
      </c>
      <c r="M163" s="2" t="s">
        <v>26</v>
      </c>
      <c r="N163" s="2" t="s">
        <v>26</v>
      </c>
      <c r="O163" s="2" t="s">
        <v>26</v>
      </c>
      <c r="P163" s="8" t="s">
        <v>11</v>
      </c>
      <c r="Q163" s="2" t="s">
        <v>26</v>
      </c>
      <c r="R163" s="2" t="s">
        <v>26</v>
      </c>
    </row>
    <row r="164" spans="1:18" x14ac:dyDescent="0.3">
      <c r="A164" s="1" t="s">
        <v>1099</v>
      </c>
      <c r="B164" s="2" t="s">
        <v>1112</v>
      </c>
      <c r="C164" s="2" t="s">
        <v>1113</v>
      </c>
      <c r="D164" s="2" t="s">
        <v>1114</v>
      </c>
      <c r="E164" s="2" t="s">
        <v>1115</v>
      </c>
      <c r="F164" s="2"/>
      <c r="G164" s="2" t="s">
        <v>1110</v>
      </c>
      <c r="H164" s="2" t="s">
        <v>74</v>
      </c>
      <c r="I164" s="2">
        <v>71</v>
      </c>
      <c r="J164" s="2" t="s">
        <v>325</v>
      </c>
      <c r="K164" s="2" t="s">
        <v>1116</v>
      </c>
      <c r="L164" s="2">
        <v>393491898024</v>
      </c>
      <c r="M164" s="2" t="s">
        <v>26</v>
      </c>
      <c r="N164" s="2" t="s">
        <v>26</v>
      </c>
      <c r="O164" s="2" t="s">
        <v>26</v>
      </c>
      <c r="P164" s="8" t="s">
        <v>11</v>
      </c>
      <c r="Q164" s="2" t="s">
        <v>26</v>
      </c>
      <c r="R164" s="2" t="s">
        <v>26</v>
      </c>
    </row>
    <row r="165" spans="1:18" x14ac:dyDescent="0.3">
      <c r="A165" s="1" t="s">
        <v>1072</v>
      </c>
      <c r="B165" s="2" t="s">
        <v>1117</v>
      </c>
      <c r="C165" s="2" t="s">
        <v>253</v>
      </c>
      <c r="D165" s="2" t="s">
        <v>1118</v>
      </c>
      <c r="E165" s="2" t="s">
        <v>1119</v>
      </c>
      <c r="F165" s="2"/>
      <c r="G165" s="2" t="s">
        <v>1120</v>
      </c>
      <c r="H165" s="2" t="s">
        <v>74</v>
      </c>
      <c r="I165" s="2">
        <v>518132</v>
      </c>
      <c r="J165" s="2" t="s">
        <v>509</v>
      </c>
      <c r="K165" s="2" t="s">
        <v>1121</v>
      </c>
      <c r="L165" s="2">
        <v>8618718673133</v>
      </c>
      <c r="M165" s="2" t="s">
        <v>26</v>
      </c>
      <c r="N165" s="2" t="s">
        <v>26</v>
      </c>
      <c r="O165" s="2" t="s">
        <v>26</v>
      </c>
      <c r="P165" s="2" t="s">
        <v>26</v>
      </c>
      <c r="Q165" s="2" t="s">
        <v>26</v>
      </c>
      <c r="R165" s="2" t="s">
        <v>26</v>
      </c>
    </row>
    <row r="166" spans="1:18" x14ac:dyDescent="0.3">
      <c r="A166" s="1" t="s">
        <v>1122</v>
      </c>
      <c r="B166" s="2" t="s">
        <v>1123</v>
      </c>
      <c r="C166" s="2" t="s">
        <v>385</v>
      </c>
      <c r="D166" s="2" t="s">
        <v>1124</v>
      </c>
      <c r="E166" s="2" t="s">
        <v>1125</v>
      </c>
      <c r="F166" s="2"/>
      <c r="G166" s="2" t="s">
        <v>1126</v>
      </c>
      <c r="H166" s="2" t="s">
        <v>74</v>
      </c>
      <c r="I166" s="2">
        <v>91058</v>
      </c>
      <c r="J166" s="2" t="s">
        <v>235</v>
      </c>
      <c r="K166" s="2" t="s">
        <v>1127</v>
      </c>
      <c r="L166" s="2">
        <v>491757640953</v>
      </c>
      <c r="M166" s="8" t="s">
        <v>11</v>
      </c>
      <c r="N166" s="2" t="s">
        <v>26</v>
      </c>
      <c r="O166" s="2" t="s">
        <v>26</v>
      </c>
      <c r="P166" s="2" t="s">
        <v>26</v>
      </c>
      <c r="Q166" s="2" t="s">
        <v>26</v>
      </c>
      <c r="R166" s="2" t="s">
        <v>26</v>
      </c>
    </row>
    <row r="167" spans="1:18" x14ac:dyDescent="0.3">
      <c r="A167" s="1" t="s">
        <v>1128</v>
      </c>
      <c r="B167" s="2" t="s">
        <v>1129</v>
      </c>
      <c r="C167" s="2" t="s">
        <v>450</v>
      </c>
      <c r="D167" s="2" t="s">
        <v>451</v>
      </c>
      <c r="E167" s="2" t="s">
        <v>452</v>
      </c>
      <c r="F167" s="2"/>
      <c r="G167" s="2" t="s">
        <v>453</v>
      </c>
      <c r="H167" s="2" t="s">
        <v>74</v>
      </c>
      <c r="I167" s="2">
        <v>4001</v>
      </c>
      <c r="J167" s="2" t="s">
        <v>454</v>
      </c>
      <c r="K167" s="2" t="s">
        <v>1130</v>
      </c>
      <c r="L167" s="2">
        <v>34618089145</v>
      </c>
      <c r="M167" s="2" t="s">
        <v>26</v>
      </c>
      <c r="N167" s="2" t="s">
        <v>26</v>
      </c>
      <c r="O167" s="2" t="s">
        <v>26</v>
      </c>
      <c r="P167" s="2" t="s">
        <v>26</v>
      </c>
      <c r="Q167" s="8" t="s">
        <v>11</v>
      </c>
      <c r="R167" s="2" t="s">
        <v>26</v>
      </c>
    </row>
    <row r="168" spans="1:18" x14ac:dyDescent="0.3">
      <c r="A168" s="1" t="s">
        <v>1131</v>
      </c>
      <c r="B168" s="2" t="s">
        <v>1132</v>
      </c>
      <c r="C168" s="2" t="s">
        <v>1133</v>
      </c>
      <c r="D168" s="2" t="s">
        <v>168</v>
      </c>
      <c r="E168" s="2" t="s">
        <v>1134</v>
      </c>
      <c r="F168" s="2"/>
      <c r="G168" s="2" t="s">
        <v>1135</v>
      </c>
      <c r="H168" s="2" t="s">
        <v>7</v>
      </c>
      <c r="I168" s="2">
        <v>2421</v>
      </c>
      <c r="J168" s="2" t="s">
        <v>8</v>
      </c>
      <c r="K168" s="2" t="s">
        <v>1136</v>
      </c>
      <c r="L168" s="2">
        <v>8587293394</v>
      </c>
      <c r="M168" s="2" t="s">
        <v>26</v>
      </c>
      <c r="N168" s="2" t="s">
        <v>26</v>
      </c>
      <c r="O168" s="2" t="s">
        <v>26</v>
      </c>
      <c r="P168" s="2" t="s">
        <v>26</v>
      </c>
      <c r="Q168" s="2" t="s">
        <v>26</v>
      </c>
      <c r="R168" s="2" t="s">
        <v>26</v>
      </c>
    </row>
    <row r="169" spans="1:18" x14ac:dyDescent="0.3">
      <c r="A169" s="1" t="s">
        <v>1137</v>
      </c>
      <c r="B169" s="2" t="s">
        <v>1138</v>
      </c>
      <c r="C169" s="2" t="s">
        <v>102</v>
      </c>
      <c r="D169" s="2" t="s">
        <v>1139</v>
      </c>
      <c r="E169" s="2" t="s">
        <v>1140</v>
      </c>
      <c r="F169" s="2"/>
      <c r="G169" s="2" t="s">
        <v>1141</v>
      </c>
      <c r="H169" s="2" t="s">
        <v>74</v>
      </c>
      <c r="I169" s="2">
        <v>80131</v>
      </c>
      <c r="J169" s="2" t="s">
        <v>325</v>
      </c>
      <c r="K169" s="2" t="s">
        <v>1142</v>
      </c>
      <c r="L169" s="2">
        <v>39081678625</v>
      </c>
      <c r="M169" s="2" t="s">
        <v>26</v>
      </c>
      <c r="N169" s="2" t="s">
        <v>26</v>
      </c>
      <c r="O169" s="2" t="s">
        <v>26</v>
      </c>
      <c r="P169" s="2" t="s">
        <v>26</v>
      </c>
      <c r="Q169" s="8" t="s">
        <v>11</v>
      </c>
      <c r="R169" s="2" t="s">
        <v>26</v>
      </c>
    </row>
    <row r="170" spans="1:18" x14ac:dyDescent="0.3">
      <c r="A170" s="1" t="s">
        <v>1143</v>
      </c>
      <c r="B170" s="2" t="s">
        <v>1144</v>
      </c>
      <c r="C170" s="2" t="s">
        <v>1145</v>
      </c>
      <c r="D170" s="2" t="s">
        <v>386</v>
      </c>
      <c r="E170" s="2" t="s">
        <v>1146</v>
      </c>
      <c r="F170" s="2"/>
      <c r="G170" s="2" t="s">
        <v>1147</v>
      </c>
      <c r="H170" s="2" t="s">
        <v>34</v>
      </c>
      <c r="I170" s="2">
        <v>47906</v>
      </c>
      <c r="J170" s="2" t="s">
        <v>8</v>
      </c>
      <c r="K170" s="2" t="s">
        <v>1148</v>
      </c>
      <c r="L170" s="2">
        <v>7657726733</v>
      </c>
      <c r="M170" s="8" t="s">
        <v>11</v>
      </c>
      <c r="N170" s="2" t="s">
        <v>26</v>
      </c>
      <c r="O170" s="2" t="s">
        <v>26</v>
      </c>
      <c r="P170" s="2" t="s">
        <v>26</v>
      </c>
      <c r="Q170" s="2" t="s">
        <v>26</v>
      </c>
      <c r="R170" s="2" t="s">
        <v>26</v>
      </c>
    </row>
    <row r="171" spans="1:18" x14ac:dyDescent="0.3">
      <c r="A171" s="1" t="s">
        <v>1149</v>
      </c>
      <c r="B171" s="2" t="s">
        <v>1150</v>
      </c>
      <c r="C171" s="2" t="s">
        <v>496</v>
      </c>
      <c r="D171" s="2" t="s">
        <v>400</v>
      </c>
      <c r="E171" s="2" t="s">
        <v>401</v>
      </c>
      <c r="F171" s="2"/>
      <c r="G171" s="2" t="s">
        <v>402</v>
      </c>
      <c r="H171" s="2" t="s">
        <v>403</v>
      </c>
      <c r="I171" s="2">
        <v>28269</v>
      </c>
      <c r="J171" s="2" t="s">
        <v>8</v>
      </c>
      <c r="K171" s="2" t="s">
        <v>1151</v>
      </c>
      <c r="L171" s="2">
        <v>8589873013</v>
      </c>
      <c r="M171" s="2" t="s">
        <v>26</v>
      </c>
      <c r="N171" s="2" t="s">
        <v>26</v>
      </c>
      <c r="O171" s="2" t="s">
        <v>26</v>
      </c>
      <c r="P171" s="8" t="s">
        <v>11</v>
      </c>
      <c r="Q171" s="2" t="s">
        <v>26</v>
      </c>
      <c r="R171" s="2" t="s">
        <v>26</v>
      </c>
    </row>
    <row r="172" spans="1:18" x14ac:dyDescent="0.3">
      <c r="A172" s="1" t="s">
        <v>1152</v>
      </c>
      <c r="B172" s="2" t="s">
        <v>1153</v>
      </c>
      <c r="C172" s="2" t="s">
        <v>280</v>
      </c>
      <c r="D172" s="2" t="s">
        <v>1154</v>
      </c>
      <c r="E172" s="2" t="s">
        <v>1155</v>
      </c>
      <c r="F172" s="2" t="s">
        <v>1156</v>
      </c>
      <c r="G172" s="2" t="s">
        <v>662</v>
      </c>
      <c r="H172" s="2" t="s">
        <v>663</v>
      </c>
      <c r="I172" s="2">
        <v>98195</v>
      </c>
      <c r="J172" s="2" t="s">
        <v>8</v>
      </c>
      <c r="K172" s="2" t="s">
        <v>1157</v>
      </c>
      <c r="L172" s="2">
        <v>8143212233</v>
      </c>
      <c r="M172" s="2" t="s">
        <v>26</v>
      </c>
      <c r="N172" s="2" t="s">
        <v>26</v>
      </c>
      <c r="O172" s="2" t="s">
        <v>26</v>
      </c>
      <c r="P172" s="2" t="s">
        <v>26</v>
      </c>
      <c r="Q172" s="8" t="s">
        <v>11</v>
      </c>
      <c r="R172" s="2" t="s">
        <v>26</v>
      </c>
    </row>
    <row r="173" spans="1:18" x14ac:dyDescent="0.3">
      <c r="A173" s="1" t="s">
        <v>1158</v>
      </c>
      <c r="B173" s="2" t="s">
        <v>1159</v>
      </c>
      <c r="C173" s="2" t="s">
        <v>13</v>
      </c>
      <c r="D173" s="2" t="s">
        <v>1160</v>
      </c>
      <c r="E173" s="2" t="s">
        <v>1161</v>
      </c>
      <c r="F173" s="2"/>
      <c r="G173" s="2" t="s">
        <v>346</v>
      </c>
      <c r="H173" s="2" t="s">
        <v>347</v>
      </c>
      <c r="I173" s="2">
        <v>53711</v>
      </c>
      <c r="J173" s="2" t="s">
        <v>8</v>
      </c>
      <c r="K173" s="2" t="s">
        <v>1162</v>
      </c>
      <c r="L173" s="2">
        <v>6083054541</v>
      </c>
      <c r="M173" s="2" t="s">
        <v>26</v>
      </c>
      <c r="N173" s="2" t="s">
        <v>26</v>
      </c>
      <c r="O173" s="2" t="s">
        <v>26</v>
      </c>
      <c r="P173" s="8" t="s">
        <v>11</v>
      </c>
      <c r="Q173" s="2" t="s">
        <v>26</v>
      </c>
      <c r="R173" s="2" t="s">
        <v>26</v>
      </c>
    </row>
    <row r="174" spans="1:18" x14ac:dyDescent="0.3">
      <c r="A174" s="1" t="s">
        <v>1163</v>
      </c>
      <c r="B174" s="2" t="s">
        <v>1164</v>
      </c>
      <c r="C174" s="2" t="s">
        <v>1165</v>
      </c>
      <c r="D174" s="2" t="s">
        <v>1166</v>
      </c>
      <c r="E174" s="2" t="s">
        <v>1167</v>
      </c>
      <c r="F174" s="2" t="s">
        <v>1168</v>
      </c>
      <c r="G174" s="2" t="s">
        <v>1169</v>
      </c>
      <c r="H174" s="2" t="s">
        <v>475</v>
      </c>
      <c r="I174" s="2">
        <v>2008</v>
      </c>
      <c r="J174" s="2" t="s">
        <v>476</v>
      </c>
      <c r="K174" s="2" t="s">
        <v>1170</v>
      </c>
      <c r="L174" s="2" t="s">
        <v>1171</v>
      </c>
      <c r="M174" s="2" t="s">
        <v>26</v>
      </c>
      <c r="N174" s="8" t="s">
        <v>11</v>
      </c>
      <c r="O174" s="2" t="s">
        <v>26</v>
      </c>
      <c r="P174" s="2" t="s">
        <v>26</v>
      </c>
      <c r="Q174" s="2" t="s">
        <v>26</v>
      </c>
      <c r="R174" s="2" t="s">
        <v>26</v>
      </c>
    </row>
    <row r="175" spans="1:18" x14ac:dyDescent="0.3">
      <c r="A175" s="1" t="s">
        <v>1172</v>
      </c>
      <c r="B175" s="2" t="s">
        <v>1173</v>
      </c>
      <c r="C175" s="2" t="s">
        <v>1145</v>
      </c>
      <c r="D175" s="2" t="s">
        <v>1174</v>
      </c>
      <c r="E175" s="2" t="s">
        <v>1175</v>
      </c>
      <c r="F175" s="2" t="s">
        <v>1176</v>
      </c>
      <c r="G175" s="2" t="s">
        <v>591</v>
      </c>
      <c r="H175" s="2" t="s">
        <v>250</v>
      </c>
      <c r="I175" s="2">
        <v>77801</v>
      </c>
      <c r="J175" s="2" t="s">
        <v>8</v>
      </c>
      <c r="K175" s="2" t="s">
        <v>1177</v>
      </c>
      <c r="L175" s="2">
        <v>9794029759</v>
      </c>
      <c r="M175" s="8" t="s">
        <v>11</v>
      </c>
      <c r="N175" s="2" t="s">
        <v>26</v>
      </c>
      <c r="O175" s="2" t="s">
        <v>26</v>
      </c>
      <c r="P175" s="2" t="s">
        <v>26</v>
      </c>
      <c r="Q175" s="2" t="s">
        <v>26</v>
      </c>
      <c r="R175" s="2" t="s">
        <v>26</v>
      </c>
    </row>
    <row r="176" spans="1:18" x14ac:dyDescent="0.3">
      <c r="A176" s="1" t="s">
        <v>1178</v>
      </c>
      <c r="B176" s="2" t="s">
        <v>1179</v>
      </c>
      <c r="C176" s="2" t="s">
        <v>599</v>
      </c>
      <c r="D176" s="2" t="s">
        <v>1180</v>
      </c>
      <c r="E176" s="2" t="s">
        <v>1181</v>
      </c>
      <c r="F176" s="2" t="s">
        <v>1182</v>
      </c>
      <c r="G176" s="2" t="s">
        <v>1183</v>
      </c>
      <c r="H176" s="2" t="s">
        <v>195</v>
      </c>
      <c r="I176" s="2">
        <v>10036</v>
      </c>
      <c r="J176" s="2" t="s">
        <v>8</v>
      </c>
      <c r="K176" s="2" t="s">
        <v>1184</v>
      </c>
      <c r="L176" s="2">
        <v>6467043763</v>
      </c>
      <c r="M176" s="2" t="s">
        <v>26</v>
      </c>
      <c r="N176" s="2" t="s">
        <v>26</v>
      </c>
      <c r="O176" s="2" t="s">
        <v>26</v>
      </c>
      <c r="P176" s="8" t="s">
        <v>11</v>
      </c>
      <c r="Q176" s="2" t="s">
        <v>26</v>
      </c>
      <c r="R176" s="2" t="s">
        <v>26</v>
      </c>
    </row>
    <row r="177" spans="1:18" x14ac:dyDescent="0.3">
      <c r="A177" s="1" t="s">
        <v>1185</v>
      </c>
      <c r="B177" s="2" t="s">
        <v>1186</v>
      </c>
      <c r="C177" s="2" t="s">
        <v>91</v>
      </c>
      <c r="D177" s="2" t="s">
        <v>1187</v>
      </c>
      <c r="E177" s="2" t="s">
        <v>1188</v>
      </c>
      <c r="F177" s="2" t="s">
        <v>1189</v>
      </c>
      <c r="G177" s="2" t="s">
        <v>1190</v>
      </c>
      <c r="H177" s="2" t="s">
        <v>7</v>
      </c>
      <c r="I177" s="2">
        <v>1801</v>
      </c>
      <c r="J177" s="2" t="s">
        <v>8</v>
      </c>
      <c r="K177" s="2" t="s">
        <v>1191</v>
      </c>
      <c r="L177" s="2">
        <v>5188523229</v>
      </c>
      <c r="M177" s="2" t="s">
        <v>26</v>
      </c>
      <c r="N177" s="2" t="s">
        <v>26</v>
      </c>
      <c r="O177" s="2" t="s">
        <v>26</v>
      </c>
      <c r="P177" s="8" t="s">
        <v>11</v>
      </c>
      <c r="Q177" s="2" t="s">
        <v>26</v>
      </c>
      <c r="R177" s="2" t="s">
        <v>26</v>
      </c>
    </row>
    <row r="178" spans="1:18" x14ac:dyDescent="0.3">
      <c r="A178" s="1" t="s">
        <v>1192</v>
      </c>
      <c r="B178" s="2" t="s">
        <v>1193</v>
      </c>
      <c r="C178" s="2" t="s">
        <v>1194</v>
      </c>
      <c r="D178" s="2" t="s">
        <v>1195</v>
      </c>
      <c r="E178" s="2" t="s">
        <v>1196</v>
      </c>
      <c r="F178" s="2" t="s">
        <v>1197</v>
      </c>
      <c r="G178" s="2" t="s">
        <v>1198</v>
      </c>
      <c r="H178" s="2" t="s">
        <v>74</v>
      </c>
      <c r="I178" s="2" t="s">
        <v>1199</v>
      </c>
      <c r="J178" s="2" t="s">
        <v>417</v>
      </c>
      <c r="K178" s="2" t="s">
        <v>1200</v>
      </c>
      <c r="L178" s="2">
        <v>81466286080</v>
      </c>
      <c r="M178" s="2" t="s">
        <v>26</v>
      </c>
      <c r="N178" s="2" t="s">
        <v>26</v>
      </c>
      <c r="O178" s="2" t="s">
        <v>26</v>
      </c>
      <c r="P178" s="8" t="s">
        <v>11</v>
      </c>
      <c r="Q178" s="2" t="s">
        <v>26</v>
      </c>
      <c r="R178" s="2" t="s">
        <v>26</v>
      </c>
    </row>
    <row r="179" spans="1:18" x14ac:dyDescent="0.3">
      <c r="A179" s="1" t="s">
        <v>1201</v>
      </c>
      <c r="B179" s="2" t="s">
        <v>1202</v>
      </c>
      <c r="C179" s="2" t="s">
        <v>61</v>
      </c>
      <c r="D179" s="2" t="s">
        <v>1203</v>
      </c>
      <c r="E179" s="2" t="s">
        <v>1204</v>
      </c>
      <c r="F179" s="2"/>
      <c r="G179" s="2" t="s">
        <v>1205</v>
      </c>
      <c r="H179" s="2" t="s">
        <v>74</v>
      </c>
      <c r="I179" s="2" t="s">
        <v>1206</v>
      </c>
      <c r="J179" s="2" t="s">
        <v>417</v>
      </c>
      <c r="K179" s="2" t="s">
        <v>1207</v>
      </c>
      <c r="L179" s="2">
        <f>81-90-9698-1344</f>
        <v>-11051</v>
      </c>
      <c r="M179" s="2" t="s">
        <v>26</v>
      </c>
      <c r="N179" s="2" t="s">
        <v>26</v>
      </c>
      <c r="O179" s="2" t="s">
        <v>26</v>
      </c>
      <c r="P179" s="2" t="s">
        <v>26</v>
      </c>
      <c r="Q179" s="8" t="s">
        <v>11</v>
      </c>
      <c r="R179" s="2" t="s">
        <v>26</v>
      </c>
    </row>
    <row r="180" spans="1:18" x14ac:dyDescent="0.3">
      <c r="A180" s="1" t="s">
        <v>1208</v>
      </c>
      <c r="B180" s="2" t="s">
        <v>1209</v>
      </c>
      <c r="C180" s="2" t="s">
        <v>1210</v>
      </c>
      <c r="D180" s="2" t="s">
        <v>1211</v>
      </c>
      <c r="E180" s="2" t="s">
        <v>1212</v>
      </c>
      <c r="F180" s="2"/>
      <c r="G180" s="2" t="s">
        <v>463</v>
      </c>
      <c r="H180" s="2" t="s">
        <v>403</v>
      </c>
      <c r="I180" s="2">
        <v>27650</v>
      </c>
      <c r="J180" s="2" t="s">
        <v>8</v>
      </c>
      <c r="K180" s="2" t="s">
        <v>1213</v>
      </c>
      <c r="L180" s="2" t="s">
        <v>1214</v>
      </c>
      <c r="M180" s="2" t="s">
        <v>26</v>
      </c>
      <c r="N180" s="2" t="s">
        <v>26</v>
      </c>
      <c r="O180" s="2" t="s">
        <v>26</v>
      </c>
      <c r="P180" s="8" t="s">
        <v>11</v>
      </c>
      <c r="Q180" s="2" t="s">
        <v>26</v>
      </c>
      <c r="R180" s="2" t="s">
        <v>26</v>
      </c>
    </row>
    <row r="181" spans="1:18" x14ac:dyDescent="0.3">
      <c r="A181" s="1" t="s">
        <v>1215</v>
      </c>
      <c r="B181" s="2" t="s">
        <v>1216</v>
      </c>
      <c r="C181" s="2" t="s">
        <v>29</v>
      </c>
      <c r="D181" s="2" t="s">
        <v>1217</v>
      </c>
      <c r="E181" s="2" t="s">
        <v>1218</v>
      </c>
      <c r="F181" s="2"/>
      <c r="G181" s="2" t="s">
        <v>1219</v>
      </c>
      <c r="H181" s="2" t="s">
        <v>74</v>
      </c>
      <c r="I181" s="2">
        <v>3200008</v>
      </c>
      <c r="J181" s="2" t="s">
        <v>967</v>
      </c>
      <c r="K181" s="2" t="s">
        <v>1220</v>
      </c>
      <c r="L181" s="2" t="s">
        <v>1221</v>
      </c>
      <c r="M181" s="2" t="s">
        <v>26</v>
      </c>
      <c r="N181" s="2" t="s">
        <v>26</v>
      </c>
      <c r="O181" s="2" t="s">
        <v>26</v>
      </c>
      <c r="P181" s="2" t="s">
        <v>26</v>
      </c>
      <c r="Q181" s="8" t="s">
        <v>11</v>
      </c>
      <c r="R181" s="2" t="s">
        <v>26</v>
      </c>
    </row>
    <row r="182" spans="1:18" x14ac:dyDescent="0.3">
      <c r="A182" s="1" t="s">
        <v>1222</v>
      </c>
      <c r="B182" s="2" t="s">
        <v>1223</v>
      </c>
      <c r="C182" s="2" t="s">
        <v>1224</v>
      </c>
      <c r="D182" s="2" t="s">
        <v>185</v>
      </c>
      <c r="E182" s="2" t="s">
        <v>1225</v>
      </c>
      <c r="F182" s="2" t="s">
        <v>1226</v>
      </c>
      <c r="G182" s="2" t="s">
        <v>751</v>
      </c>
      <c r="H182" s="2" t="s">
        <v>7</v>
      </c>
      <c r="I182" s="2">
        <v>2093</v>
      </c>
      <c r="J182" s="2" t="s">
        <v>8</v>
      </c>
      <c r="K182" s="2" t="s">
        <v>1227</v>
      </c>
      <c r="L182" s="2">
        <v>7742780276</v>
      </c>
      <c r="M182" s="8" t="s">
        <v>11</v>
      </c>
      <c r="N182" s="2" t="s">
        <v>26</v>
      </c>
      <c r="O182" s="2" t="s">
        <v>26</v>
      </c>
      <c r="P182" s="2" t="s">
        <v>26</v>
      </c>
      <c r="Q182" s="2" t="s">
        <v>26</v>
      </c>
      <c r="R182" s="2" t="s">
        <v>26</v>
      </c>
    </row>
    <row r="183" spans="1:18" x14ac:dyDescent="0.3">
      <c r="A183" s="1" t="s">
        <v>1228</v>
      </c>
      <c r="B183" s="2" t="s">
        <v>1229</v>
      </c>
      <c r="C183" s="2" t="s">
        <v>385</v>
      </c>
      <c r="D183" s="2" t="s">
        <v>1230</v>
      </c>
      <c r="E183" s="2" t="s">
        <v>1231</v>
      </c>
      <c r="F183" s="2" t="s">
        <v>1232</v>
      </c>
      <c r="G183" s="2" t="s">
        <v>1233</v>
      </c>
      <c r="H183" s="2" t="s">
        <v>1234</v>
      </c>
      <c r="I183" s="2">
        <v>65201</v>
      </c>
      <c r="J183" s="2" t="s">
        <v>8</v>
      </c>
      <c r="K183" s="2" t="s">
        <v>1235</v>
      </c>
      <c r="L183" s="2">
        <v>5732190871</v>
      </c>
      <c r="M183" s="8" t="s">
        <v>11</v>
      </c>
      <c r="N183" s="2" t="s">
        <v>26</v>
      </c>
      <c r="O183" s="2" t="s">
        <v>26</v>
      </c>
      <c r="P183" s="2" t="s">
        <v>26</v>
      </c>
      <c r="Q183" s="2" t="s">
        <v>26</v>
      </c>
      <c r="R183" s="2" t="s">
        <v>26</v>
      </c>
    </row>
    <row r="184" spans="1:18" x14ac:dyDescent="0.3">
      <c r="A184" s="1" t="s">
        <v>1236</v>
      </c>
      <c r="B184" s="2" t="s">
        <v>1237</v>
      </c>
      <c r="C184" s="2" t="s">
        <v>40</v>
      </c>
      <c r="D184" s="2" t="s">
        <v>307</v>
      </c>
      <c r="E184" s="2" t="s">
        <v>1238</v>
      </c>
      <c r="F184" s="2" t="s">
        <v>1239</v>
      </c>
      <c r="G184" s="2" t="s">
        <v>310</v>
      </c>
      <c r="H184" s="2" t="s">
        <v>34</v>
      </c>
      <c r="I184" s="2">
        <v>46202</v>
      </c>
      <c r="J184" s="2" t="s">
        <v>8</v>
      </c>
      <c r="K184" s="2" t="s">
        <v>1240</v>
      </c>
      <c r="L184" s="2">
        <v>2167037527</v>
      </c>
      <c r="M184" s="2" t="s">
        <v>26</v>
      </c>
      <c r="N184" s="2" t="s">
        <v>26</v>
      </c>
      <c r="O184" s="2" t="s">
        <v>26</v>
      </c>
      <c r="P184" s="8" t="s">
        <v>11</v>
      </c>
      <c r="Q184" s="2" t="s">
        <v>26</v>
      </c>
      <c r="R184" s="2" t="s">
        <v>26</v>
      </c>
    </row>
    <row r="185" spans="1:18" x14ac:dyDescent="0.3">
      <c r="A185" s="1" t="s">
        <v>1241</v>
      </c>
      <c r="B185" s="2" t="s">
        <v>1242</v>
      </c>
      <c r="C185" s="2" t="s">
        <v>102</v>
      </c>
      <c r="D185" s="2" t="s">
        <v>1243</v>
      </c>
      <c r="E185" s="2" t="s">
        <v>1244</v>
      </c>
      <c r="F185" s="2"/>
      <c r="G185" s="2" t="s">
        <v>1245</v>
      </c>
      <c r="H185" s="2" t="s">
        <v>74</v>
      </c>
      <c r="I185" s="2" t="s">
        <v>1246</v>
      </c>
      <c r="J185" s="2" t="s">
        <v>258</v>
      </c>
      <c r="K185" s="2" t="s">
        <v>1247</v>
      </c>
      <c r="L185" s="2">
        <v>1753</v>
      </c>
      <c r="M185" s="2" t="s">
        <v>26</v>
      </c>
      <c r="N185" s="2" t="s">
        <v>26</v>
      </c>
      <c r="O185" s="2" t="s">
        <v>26</v>
      </c>
      <c r="P185" s="8" t="s">
        <v>11</v>
      </c>
      <c r="Q185" s="2" t="s">
        <v>26</v>
      </c>
      <c r="R185" s="2" t="s">
        <v>26</v>
      </c>
    </row>
    <row r="186" spans="1:18" x14ac:dyDescent="0.3">
      <c r="A186" s="1" t="s">
        <v>1248</v>
      </c>
      <c r="B186" s="2" t="s">
        <v>433</v>
      </c>
      <c r="C186" s="2" t="s">
        <v>1249</v>
      </c>
      <c r="D186" s="2" t="s">
        <v>1250</v>
      </c>
      <c r="E186" s="2" t="s">
        <v>1251</v>
      </c>
      <c r="F186" s="2"/>
      <c r="G186" s="2" t="s">
        <v>1252</v>
      </c>
      <c r="H186" s="2" t="s">
        <v>65</v>
      </c>
      <c r="I186" s="2">
        <v>33620</v>
      </c>
      <c r="J186" s="2" t="s">
        <v>8</v>
      </c>
      <c r="K186" s="2" t="s">
        <v>1253</v>
      </c>
      <c r="L186" s="2">
        <v>8139923860</v>
      </c>
      <c r="M186" s="2" t="s">
        <v>26</v>
      </c>
      <c r="N186" s="2" t="s">
        <v>26</v>
      </c>
      <c r="O186" s="8" t="s">
        <v>11</v>
      </c>
      <c r="P186" s="2" t="s">
        <v>26</v>
      </c>
      <c r="Q186" s="2" t="s">
        <v>26</v>
      </c>
      <c r="R186" s="2" t="s">
        <v>26</v>
      </c>
    </row>
    <row r="187" spans="1:18" x14ac:dyDescent="0.3">
      <c r="A187" s="1" t="s">
        <v>1254</v>
      </c>
      <c r="B187" s="2" t="s">
        <v>1255</v>
      </c>
      <c r="C187" s="2" t="s">
        <v>1256</v>
      </c>
      <c r="D187" s="2" t="s">
        <v>3</v>
      </c>
      <c r="E187" s="2" t="s">
        <v>4</v>
      </c>
      <c r="F187" s="2" t="s">
        <v>5</v>
      </c>
      <c r="G187" s="2" t="s">
        <v>6</v>
      </c>
      <c r="H187" s="2" t="s">
        <v>7</v>
      </c>
      <c r="I187" s="2">
        <v>2139</v>
      </c>
      <c r="J187" s="2" t="s">
        <v>8</v>
      </c>
      <c r="K187" s="2" t="s">
        <v>1257</v>
      </c>
      <c r="L187" s="2" t="s">
        <v>10</v>
      </c>
      <c r="M187" s="2" t="s">
        <v>26</v>
      </c>
      <c r="N187" s="2" t="s">
        <v>26</v>
      </c>
      <c r="O187" s="2" t="s">
        <v>26</v>
      </c>
      <c r="P187" s="8" t="s">
        <v>11</v>
      </c>
      <c r="Q187" s="2" t="s">
        <v>26</v>
      </c>
      <c r="R187" s="2" t="s">
        <v>26</v>
      </c>
    </row>
    <row r="188" spans="1:18" x14ac:dyDescent="0.3">
      <c r="A188" s="1" t="s">
        <v>1254</v>
      </c>
      <c r="B188" s="2" t="s">
        <v>1258</v>
      </c>
      <c r="C188" s="2" t="s">
        <v>1259</v>
      </c>
      <c r="D188" s="2" t="s">
        <v>1260</v>
      </c>
      <c r="E188" s="2" t="s">
        <v>1261</v>
      </c>
      <c r="F188" s="2" t="s">
        <v>1262</v>
      </c>
      <c r="G188" s="2" t="s">
        <v>717</v>
      </c>
      <c r="H188" s="2" t="s">
        <v>17</v>
      </c>
      <c r="I188" s="2">
        <v>94107</v>
      </c>
      <c r="J188" s="2" t="s">
        <v>8</v>
      </c>
      <c r="K188" s="2" t="s">
        <v>1263</v>
      </c>
      <c r="L188" s="2" t="s">
        <v>1264</v>
      </c>
      <c r="M188" s="2" t="s">
        <v>26</v>
      </c>
      <c r="N188" s="2" t="s">
        <v>26</v>
      </c>
      <c r="O188" s="8" t="s">
        <v>11</v>
      </c>
      <c r="P188" s="2" t="s">
        <v>26</v>
      </c>
      <c r="Q188" s="2" t="s">
        <v>26</v>
      </c>
      <c r="R188" s="2" t="s">
        <v>26</v>
      </c>
    </row>
    <row r="189" spans="1:18" x14ac:dyDescent="0.3">
      <c r="A189" s="1" t="s">
        <v>1265</v>
      </c>
      <c r="B189" s="2" t="s">
        <v>1266</v>
      </c>
      <c r="C189" s="2" t="s">
        <v>385</v>
      </c>
      <c r="D189" s="2" t="s">
        <v>1267</v>
      </c>
      <c r="E189" s="2" t="s">
        <v>1268</v>
      </c>
      <c r="F189" s="2"/>
      <c r="G189" s="2" t="s">
        <v>1269</v>
      </c>
      <c r="H189" s="2" t="s">
        <v>74</v>
      </c>
      <c r="I189" s="2" t="s">
        <v>1270</v>
      </c>
      <c r="J189" s="2" t="s">
        <v>417</v>
      </c>
      <c r="K189" s="2" t="s">
        <v>1271</v>
      </c>
      <c r="L189" s="2" t="s">
        <v>1272</v>
      </c>
      <c r="M189" s="2" t="s">
        <v>26</v>
      </c>
      <c r="N189" s="2" t="s">
        <v>26</v>
      </c>
      <c r="O189" s="2" t="s">
        <v>26</v>
      </c>
      <c r="P189" s="8" t="s">
        <v>11</v>
      </c>
      <c r="Q189" s="2" t="s">
        <v>26</v>
      </c>
      <c r="R189" s="2" t="s">
        <v>26</v>
      </c>
    </row>
    <row r="190" spans="1:18" x14ac:dyDescent="0.3">
      <c r="A190" s="1" t="s">
        <v>1273</v>
      </c>
      <c r="B190" s="2" t="s">
        <v>1274</v>
      </c>
      <c r="C190" s="2" t="s">
        <v>253</v>
      </c>
      <c r="D190" s="2" t="s">
        <v>1275</v>
      </c>
      <c r="E190" s="2" t="s">
        <v>1276</v>
      </c>
      <c r="F190" s="2" t="s">
        <v>345</v>
      </c>
      <c r="G190" s="2" t="s">
        <v>1277</v>
      </c>
      <c r="H190" s="2" t="s">
        <v>74</v>
      </c>
      <c r="I190" s="2">
        <v>1130033</v>
      </c>
      <c r="J190" s="2" t="s">
        <v>417</v>
      </c>
      <c r="K190" s="2" t="s">
        <v>1278</v>
      </c>
      <c r="L190" s="2">
        <v>819081706955</v>
      </c>
      <c r="M190" s="2" t="s">
        <v>26</v>
      </c>
      <c r="N190" s="2" t="s">
        <v>26</v>
      </c>
      <c r="O190" s="2" t="s">
        <v>26</v>
      </c>
      <c r="P190" s="2" t="s">
        <v>26</v>
      </c>
      <c r="Q190" s="8" t="s">
        <v>11</v>
      </c>
      <c r="R190" s="2" t="s">
        <v>26</v>
      </c>
    </row>
    <row r="191" spans="1:18" x14ac:dyDescent="0.3">
      <c r="A191" s="1" t="s">
        <v>1279</v>
      </c>
      <c r="B191" s="2" t="s">
        <v>1202</v>
      </c>
      <c r="C191" s="2" t="s">
        <v>1280</v>
      </c>
      <c r="D191" s="2" t="s">
        <v>1281</v>
      </c>
      <c r="E191" s="2" t="s">
        <v>1282</v>
      </c>
      <c r="F191" s="2"/>
      <c r="G191" s="2" t="s">
        <v>1283</v>
      </c>
      <c r="H191" s="2" t="s">
        <v>74</v>
      </c>
      <c r="I191" s="2">
        <v>138623</v>
      </c>
      <c r="J191" s="2" t="s">
        <v>1283</v>
      </c>
      <c r="K191" s="2" t="s">
        <v>1284</v>
      </c>
      <c r="L191" s="2">
        <v>6569334723</v>
      </c>
      <c r="M191" s="2" t="s">
        <v>26</v>
      </c>
      <c r="N191" s="2" t="s">
        <v>26</v>
      </c>
      <c r="O191" s="2" t="s">
        <v>26</v>
      </c>
      <c r="P191" s="8" t="s">
        <v>11</v>
      </c>
      <c r="Q191" s="2" t="s">
        <v>26</v>
      </c>
      <c r="R191" s="2" t="s">
        <v>26</v>
      </c>
    </row>
    <row r="192" spans="1:18" x14ac:dyDescent="0.3">
      <c r="A192" s="1" t="s">
        <v>1285</v>
      </c>
      <c r="B192" s="2" t="s">
        <v>1286</v>
      </c>
      <c r="C192" s="2" t="s">
        <v>238</v>
      </c>
      <c r="D192" s="2" t="s">
        <v>1287</v>
      </c>
      <c r="E192" s="2" t="s">
        <v>1288</v>
      </c>
      <c r="F192" s="2"/>
      <c r="G192" s="2" t="s">
        <v>1289</v>
      </c>
      <c r="H192" s="2" t="s">
        <v>960</v>
      </c>
      <c r="I192" s="2">
        <v>3058</v>
      </c>
      <c r="J192" s="2" t="s">
        <v>476</v>
      </c>
      <c r="K192" s="2" t="s">
        <v>1290</v>
      </c>
      <c r="L192" s="2">
        <v>61415527166</v>
      </c>
      <c r="M192" s="8" t="s">
        <v>11</v>
      </c>
      <c r="N192" s="2" t="s">
        <v>26</v>
      </c>
      <c r="O192" s="2" t="s">
        <v>26</v>
      </c>
      <c r="P192" s="2" t="s">
        <v>26</v>
      </c>
      <c r="Q192" s="2" t="s">
        <v>26</v>
      </c>
      <c r="R192" s="2" t="s">
        <v>26</v>
      </c>
    </row>
    <row r="193" spans="1:18" x14ac:dyDescent="0.3">
      <c r="A193" s="1" t="s">
        <v>1291</v>
      </c>
      <c r="B193" s="2" t="s">
        <v>1292</v>
      </c>
      <c r="C193" s="2" t="s">
        <v>1293</v>
      </c>
      <c r="D193" s="2" t="s">
        <v>1294</v>
      </c>
      <c r="E193" s="2" t="s">
        <v>1295</v>
      </c>
      <c r="F193" s="2"/>
      <c r="G193" s="2" t="s">
        <v>683</v>
      </c>
      <c r="H193" s="2" t="s">
        <v>684</v>
      </c>
      <c r="I193" s="2">
        <v>40228</v>
      </c>
      <c r="J193" s="2" t="s">
        <v>8</v>
      </c>
      <c r="K193" s="2" t="s">
        <v>1296</v>
      </c>
      <c r="L193" s="2">
        <v>5029682223</v>
      </c>
      <c r="M193" s="2" t="s">
        <v>26</v>
      </c>
      <c r="N193" s="2" t="s">
        <v>26</v>
      </c>
      <c r="O193" s="2" t="s">
        <v>26</v>
      </c>
      <c r="P193" s="8" t="s">
        <v>11</v>
      </c>
      <c r="Q193" s="2" t="s">
        <v>26</v>
      </c>
      <c r="R193" s="2" t="s">
        <v>26</v>
      </c>
    </row>
    <row r="194" spans="1:18" x14ac:dyDescent="0.3">
      <c r="A194" s="1" t="s">
        <v>1297</v>
      </c>
      <c r="B194" s="2" t="s">
        <v>1298</v>
      </c>
      <c r="C194" s="2" t="s">
        <v>280</v>
      </c>
      <c r="D194" s="2" t="s">
        <v>1299</v>
      </c>
      <c r="E194" s="2" t="s">
        <v>1300</v>
      </c>
      <c r="F194" s="2"/>
      <c r="G194" s="2" t="s">
        <v>886</v>
      </c>
      <c r="H194" s="2" t="s">
        <v>403</v>
      </c>
      <c r="I194" s="2">
        <v>27599</v>
      </c>
      <c r="J194" s="2" t="s">
        <v>8</v>
      </c>
      <c r="K194" s="2" t="s">
        <v>1301</v>
      </c>
      <c r="L194" s="2">
        <v>9199623335</v>
      </c>
      <c r="M194" s="2" t="s">
        <v>26</v>
      </c>
      <c r="N194" s="2" t="s">
        <v>26</v>
      </c>
      <c r="O194" s="2" t="s">
        <v>26</v>
      </c>
      <c r="P194" s="2" t="s">
        <v>26</v>
      </c>
      <c r="Q194" s="8" t="s">
        <v>11</v>
      </c>
      <c r="R194" s="2" t="s">
        <v>26</v>
      </c>
    </row>
    <row r="195" spans="1:18" x14ac:dyDescent="0.3">
      <c r="A195" s="1" t="s">
        <v>1302</v>
      </c>
      <c r="B195" s="2" t="s">
        <v>190</v>
      </c>
      <c r="C195" s="2" t="s">
        <v>1303</v>
      </c>
      <c r="D195" s="2" t="s">
        <v>1304</v>
      </c>
      <c r="E195" s="2" t="s">
        <v>1305</v>
      </c>
      <c r="F195" s="2"/>
      <c r="G195" s="2" t="s">
        <v>1135</v>
      </c>
      <c r="H195" s="2" t="s">
        <v>7</v>
      </c>
      <c r="I195" s="2">
        <v>2421</v>
      </c>
      <c r="J195" s="2" t="s">
        <v>8</v>
      </c>
      <c r="K195" s="2" t="s">
        <v>1306</v>
      </c>
      <c r="L195" s="2">
        <v>9493006781</v>
      </c>
      <c r="M195" s="2" t="s">
        <v>26</v>
      </c>
      <c r="N195" s="2" t="s">
        <v>26</v>
      </c>
      <c r="O195" s="8" t="s">
        <v>11</v>
      </c>
      <c r="P195" s="2" t="s">
        <v>26</v>
      </c>
      <c r="Q195" s="2" t="s">
        <v>26</v>
      </c>
      <c r="R195" s="2" t="s">
        <v>26</v>
      </c>
    </row>
    <row r="196" spans="1:18" x14ac:dyDescent="0.3">
      <c r="A196" s="1" t="s">
        <v>1307</v>
      </c>
      <c r="B196" s="2" t="s">
        <v>1308</v>
      </c>
      <c r="C196" s="2" t="s">
        <v>781</v>
      </c>
      <c r="D196" s="2" t="s">
        <v>782</v>
      </c>
      <c r="E196" s="2" t="s">
        <v>783</v>
      </c>
      <c r="F196" s="2"/>
      <c r="G196" s="2" t="s">
        <v>149</v>
      </c>
      <c r="H196" s="2" t="s">
        <v>17</v>
      </c>
      <c r="I196" s="2">
        <v>90503</v>
      </c>
      <c r="J196" s="2" t="s">
        <v>8</v>
      </c>
      <c r="K196" s="2" t="s">
        <v>1309</v>
      </c>
      <c r="L196" s="2">
        <v>3107823569</v>
      </c>
      <c r="M196" s="2" t="s">
        <v>26</v>
      </c>
      <c r="N196" s="2" t="s">
        <v>26</v>
      </c>
      <c r="O196" s="2" t="s">
        <v>26</v>
      </c>
      <c r="P196" s="8" t="s">
        <v>11</v>
      </c>
      <c r="Q196" s="2" t="s">
        <v>26</v>
      </c>
      <c r="R196" s="2" t="s">
        <v>26</v>
      </c>
    </row>
    <row r="197" spans="1:18" x14ac:dyDescent="0.3">
      <c r="A197" s="1" t="s">
        <v>1310</v>
      </c>
      <c r="B197" s="2" t="s">
        <v>1311</v>
      </c>
      <c r="C197" s="2" t="s">
        <v>191</v>
      </c>
      <c r="D197" s="2" t="s">
        <v>1312</v>
      </c>
      <c r="E197" s="2" t="s">
        <v>1313</v>
      </c>
      <c r="F197" s="2"/>
      <c r="G197" s="2" t="s">
        <v>1141</v>
      </c>
      <c r="H197" s="2" t="s">
        <v>74</v>
      </c>
      <c r="I197" s="2">
        <v>80131</v>
      </c>
      <c r="J197" s="2" t="s">
        <v>325</v>
      </c>
      <c r="K197" s="2" t="s">
        <v>1314</v>
      </c>
      <c r="L197" s="2">
        <v>3342631914</v>
      </c>
      <c r="M197" s="8" t="s">
        <v>11</v>
      </c>
      <c r="N197" s="2" t="s">
        <v>26</v>
      </c>
      <c r="O197" s="2" t="s">
        <v>26</v>
      </c>
      <c r="P197" s="2" t="s">
        <v>26</v>
      </c>
      <c r="Q197" s="2" t="s">
        <v>26</v>
      </c>
      <c r="R197" s="2" t="s">
        <v>26</v>
      </c>
    </row>
    <row r="198" spans="1:18" x14ac:dyDescent="0.3">
      <c r="A198" s="1" t="s">
        <v>1315</v>
      </c>
      <c r="B198" s="2" t="s">
        <v>1316</v>
      </c>
      <c r="C198" s="2" t="s">
        <v>78</v>
      </c>
      <c r="D198" s="2" t="s">
        <v>114</v>
      </c>
      <c r="E198" s="2" t="s">
        <v>115</v>
      </c>
      <c r="F198" s="2"/>
      <c r="G198" s="2" t="s">
        <v>116</v>
      </c>
      <c r="H198" s="2" t="s">
        <v>17</v>
      </c>
      <c r="I198" s="2">
        <v>92037</v>
      </c>
      <c r="J198" s="2" t="s">
        <v>8</v>
      </c>
      <c r="K198" s="2" t="s">
        <v>1317</v>
      </c>
      <c r="L198" s="2" t="s">
        <v>118</v>
      </c>
      <c r="M198" s="8" t="s">
        <v>11</v>
      </c>
      <c r="N198" s="2" t="s">
        <v>26</v>
      </c>
      <c r="O198" s="2" t="s">
        <v>26</v>
      </c>
      <c r="P198" s="2" t="s">
        <v>26</v>
      </c>
      <c r="Q198" s="2" t="s">
        <v>26</v>
      </c>
      <c r="R198" s="2" t="s">
        <v>26</v>
      </c>
    </row>
    <row r="199" spans="1:18" x14ac:dyDescent="0.3">
      <c r="A199" s="1" t="s">
        <v>1318</v>
      </c>
      <c r="B199" s="2" t="s">
        <v>1319</v>
      </c>
      <c r="C199" s="2" t="s">
        <v>253</v>
      </c>
      <c r="D199" s="2" t="s">
        <v>1320</v>
      </c>
      <c r="E199" s="2" t="s">
        <v>1321</v>
      </c>
      <c r="F199" s="2"/>
      <c r="G199" s="2" t="s">
        <v>1322</v>
      </c>
      <c r="H199" s="2" t="s">
        <v>74</v>
      </c>
      <c r="I199" s="2" t="s">
        <v>1323</v>
      </c>
      <c r="J199" s="2" t="s">
        <v>417</v>
      </c>
      <c r="K199" s="2" t="s">
        <v>1324</v>
      </c>
      <c r="L199" s="2">
        <f>81-72-254-9895</f>
        <v>-10140</v>
      </c>
      <c r="M199" s="2" t="s">
        <v>26</v>
      </c>
      <c r="N199" s="2" t="s">
        <v>26</v>
      </c>
      <c r="O199" s="2" t="s">
        <v>26</v>
      </c>
      <c r="P199" s="2" t="s">
        <v>26</v>
      </c>
      <c r="Q199" s="8" t="s">
        <v>11</v>
      </c>
      <c r="R199" s="2" t="s">
        <v>26</v>
      </c>
    </row>
    <row r="200" spans="1:18" x14ac:dyDescent="0.3">
      <c r="A200" s="1" t="s">
        <v>1325</v>
      </c>
      <c r="B200" s="2" t="s">
        <v>1326</v>
      </c>
      <c r="C200" s="2" t="s">
        <v>191</v>
      </c>
      <c r="D200" s="2" t="s">
        <v>185</v>
      </c>
      <c r="E200" s="2" t="s">
        <v>1327</v>
      </c>
      <c r="F200" s="2" t="s">
        <v>1328</v>
      </c>
      <c r="G200" s="2" t="s">
        <v>1329</v>
      </c>
      <c r="H200" s="2" t="s">
        <v>7</v>
      </c>
      <c r="I200" s="2">
        <v>2155</v>
      </c>
      <c r="J200" s="2" t="s">
        <v>8</v>
      </c>
      <c r="K200" s="2" t="s">
        <v>1330</v>
      </c>
      <c r="L200" s="2">
        <v>7189097549</v>
      </c>
      <c r="M200" s="8" t="s">
        <v>11</v>
      </c>
      <c r="N200" s="2" t="s">
        <v>26</v>
      </c>
      <c r="O200" s="2" t="s">
        <v>26</v>
      </c>
      <c r="P200" s="2" t="s">
        <v>26</v>
      </c>
      <c r="Q200" s="2" t="s">
        <v>26</v>
      </c>
      <c r="R200" s="2" t="s">
        <v>26</v>
      </c>
    </row>
    <row r="201" spans="1:18" x14ac:dyDescent="0.3">
      <c r="A201" s="1" t="s">
        <v>1331</v>
      </c>
      <c r="B201" s="2" t="s">
        <v>1332</v>
      </c>
      <c r="C201" s="2" t="s">
        <v>1333</v>
      </c>
      <c r="D201" s="2" t="s">
        <v>1334</v>
      </c>
      <c r="E201" s="2" t="s">
        <v>1335</v>
      </c>
      <c r="F201" s="2"/>
      <c r="G201" s="2" t="s">
        <v>1336</v>
      </c>
      <c r="H201" s="2" t="s">
        <v>74</v>
      </c>
      <c r="I201" s="2" t="s">
        <v>1337</v>
      </c>
      <c r="J201" s="2" t="s">
        <v>1338</v>
      </c>
      <c r="K201" s="2" t="s">
        <v>1339</v>
      </c>
      <c r="L201" s="2">
        <f>31-43-3881681</f>
        <v>-3881693</v>
      </c>
      <c r="M201" s="2" t="s">
        <v>26</v>
      </c>
      <c r="N201" s="2" t="s">
        <v>26</v>
      </c>
      <c r="O201" s="2" t="s">
        <v>26</v>
      </c>
      <c r="P201" s="2" t="s">
        <v>26</v>
      </c>
      <c r="Q201" s="8" t="s">
        <v>11</v>
      </c>
      <c r="R201" s="2" t="s">
        <v>26</v>
      </c>
    </row>
    <row r="202" spans="1:18" x14ac:dyDescent="0.3">
      <c r="A202" s="1" t="s">
        <v>1340</v>
      </c>
      <c r="B202" s="2" t="s">
        <v>1341</v>
      </c>
      <c r="C202" s="2" t="s">
        <v>1145</v>
      </c>
      <c r="D202" s="2" t="s">
        <v>1342</v>
      </c>
      <c r="E202" s="2" t="s">
        <v>1343</v>
      </c>
      <c r="F202" s="2" t="s">
        <v>1344</v>
      </c>
      <c r="G202" s="2" t="s">
        <v>1345</v>
      </c>
      <c r="H202" s="2" t="s">
        <v>74</v>
      </c>
      <c r="I202" s="2">
        <v>3722</v>
      </c>
      <c r="J202" s="2" t="s">
        <v>1346</v>
      </c>
      <c r="K202" s="2" t="s">
        <v>1347</v>
      </c>
      <c r="L202" s="2">
        <f>82-10-3783-460</f>
        <v>-4171</v>
      </c>
      <c r="M202" s="8" t="s">
        <v>11</v>
      </c>
      <c r="N202" s="2" t="s">
        <v>26</v>
      </c>
      <c r="O202" s="2" t="s">
        <v>26</v>
      </c>
      <c r="P202" s="2" t="s">
        <v>26</v>
      </c>
      <c r="Q202" s="2" t="s">
        <v>26</v>
      </c>
      <c r="R202" s="2" t="s">
        <v>26</v>
      </c>
    </row>
    <row r="203" spans="1:18" x14ac:dyDescent="0.3">
      <c r="A203" s="1" t="s">
        <v>1348</v>
      </c>
      <c r="B203" s="2" t="s">
        <v>1349</v>
      </c>
      <c r="C203" s="2" t="s">
        <v>78</v>
      </c>
      <c r="D203" s="2" t="s">
        <v>1350</v>
      </c>
      <c r="E203" s="2" t="s">
        <v>1351</v>
      </c>
      <c r="F203" s="2"/>
      <c r="G203" s="2" t="s">
        <v>33</v>
      </c>
      <c r="H203" s="2" t="s">
        <v>34</v>
      </c>
      <c r="I203" s="2">
        <v>46628</v>
      </c>
      <c r="J203" s="2" t="s">
        <v>8</v>
      </c>
      <c r="K203" s="2" t="s">
        <v>1352</v>
      </c>
      <c r="L203" s="2">
        <v>9894000974</v>
      </c>
      <c r="M203" s="8" t="s">
        <v>11</v>
      </c>
      <c r="N203" s="2" t="s">
        <v>26</v>
      </c>
      <c r="O203" s="2" t="s">
        <v>26</v>
      </c>
      <c r="P203" s="2" t="s">
        <v>26</v>
      </c>
      <c r="Q203" s="2" t="s">
        <v>26</v>
      </c>
      <c r="R203" s="2" t="s">
        <v>26</v>
      </c>
    </row>
    <row r="204" spans="1:18" x14ac:dyDescent="0.3">
      <c r="A204" s="1" t="s">
        <v>1353</v>
      </c>
      <c r="B204" s="2" t="s">
        <v>1354</v>
      </c>
      <c r="C204" s="2" t="s">
        <v>70</v>
      </c>
      <c r="D204" s="2" t="s">
        <v>1355</v>
      </c>
      <c r="E204" s="2" t="s">
        <v>1356</v>
      </c>
      <c r="F204" s="2"/>
      <c r="G204" s="2" t="s">
        <v>992</v>
      </c>
      <c r="H204" s="2" t="s">
        <v>74</v>
      </c>
      <c r="I204" s="2" t="s">
        <v>1357</v>
      </c>
      <c r="J204" s="2" t="s">
        <v>258</v>
      </c>
      <c r="K204" s="2" t="s">
        <v>1358</v>
      </c>
      <c r="L204" s="2">
        <v>447443634424</v>
      </c>
      <c r="M204" s="8" t="s">
        <v>11</v>
      </c>
      <c r="N204" s="2" t="s">
        <v>26</v>
      </c>
      <c r="O204" s="2" t="s">
        <v>26</v>
      </c>
      <c r="P204" s="2" t="s">
        <v>26</v>
      </c>
      <c r="Q204" s="2" t="s">
        <v>26</v>
      </c>
      <c r="R204" s="2" t="s">
        <v>26</v>
      </c>
    </row>
    <row r="205" spans="1:18" x14ac:dyDescent="0.3">
      <c r="A205" s="1" t="s">
        <v>1359</v>
      </c>
      <c r="B205" s="2" t="s">
        <v>1360</v>
      </c>
      <c r="C205" s="2" t="s">
        <v>280</v>
      </c>
      <c r="D205" s="2" t="s">
        <v>239</v>
      </c>
      <c r="E205" s="2" t="s">
        <v>1361</v>
      </c>
      <c r="F205" s="2"/>
      <c r="G205" s="2" t="s">
        <v>241</v>
      </c>
      <c r="H205" s="2" t="s">
        <v>242</v>
      </c>
      <c r="I205" s="2">
        <v>84112</v>
      </c>
      <c r="J205" s="2" t="s">
        <v>8</v>
      </c>
      <c r="K205" s="2" t="s">
        <v>1362</v>
      </c>
      <c r="L205" s="2">
        <v>3477431042</v>
      </c>
      <c r="M205" s="2" t="s">
        <v>26</v>
      </c>
      <c r="N205" s="2" t="s">
        <v>26</v>
      </c>
      <c r="O205" s="2" t="s">
        <v>26</v>
      </c>
      <c r="P205" s="2" t="s">
        <v>26</v>
      </c>
      <c r="Q205" s="8" t="s">
        <v>11</v>
      </c>
      <c r="R205" s="2" t="s">
        <v>26</v>
      </c>
    </row>
    <row r="206" spans="1:18" x14ac:dyDescent="0.3">
      <c r="A206" s="1" t="s">
        <v>1363</v>
      </c>
      <c r="B206" s="2" t="s">
        <v>1364</v>
      </c>
      <c r="C206" s="2" t="s">
        <v>191</v>
      </c>
      <c r="D206" s="2" t="s">
        <v>1365</v>
      </c>
      <c r="E206" s="2" t="s">
        <v>1366</v>
      </c>
      <c r="F206" s="2" t="s">
        <v>1367</v>
      </c>
      <c r="G206" s="2" t="s">
        <v>1368</v>
      </c>
      <c r="H206" s="2" t="s">
        <v>74</v>
      </c>
      <c r="I206" s="2" t="s">
        <v>1369</v>
      </c>
      <c r="J206" s="2" t="s">
        <v>1370</v>
      </c>
      <c r="K206" s="2" t="s">
        <v>1371</v>
      </c>
      <c r="L206" s="2" t="s">
        <v>1372</v>
      </c>
      <c r="M206" s="8" t="s">
        <v>11</v>
      </c>
      <c r="N206" s="2" t="s">
        <v>26</v>
      </c>
      <c r="O206" s="2" t="s">
        <v>26</v>
      </c>
      <c r="P206" s="2" t="s">
        <v>26</v>
      </c>
      <c r="Q206" s="2" t="s">
        <v>26</v>
      </c>
      <c r="R206" s="2" t="s">
        <v>26</v>
      </c>
    </row>
    <row r="207" spans="1:18" x14ac:dyDescent="0.3">
      <c r="A207" s="1" t="s">
        <v>1373</v>
      </c>
      <c r="B207" s="2" t="s">
        <v>1374</v>
      </c>
      <c r="C207" s="2" t="s">
        <v>1375</v>
      </c>
      <c r="D207" s="2" t="s">
        <v>1376</v>
      </c>
      <c r="E207" s="2" t="s">
        <v>1377</v>
      </c>
      <c r="F207" s="2"/>
      <c r="G207" s="2" t="s">
        <v>16</v>
      </c>
      <c r="H207" s="2" t="s">
        <v>17</v>
      </c>
      <c r="I207" s="2">
        <v>92121</v>
      </c>
      <c r="J207" s="2" t="s">
        <v>8</v>
      </c>
      <c r="K207" s="2" t="s">
        <v>1378</v>
      </c>
      <c r="L207" s="2" t="s">
        <v>1379</v>
      </c>
      <c r="M207" s="2" t="s">
        <v>26</v>
      </c>
      <c r="N207" s="2" t="s">
        <v>26</v>
      </c>
      <c r="O207" s="2" t="s">
        <v>26</v>
      </c>
      <c r="P207" s="8" t="s">
        <v>11</v>
      </c>
      <c r="Q207" s="2" t="s">
        <v>26</v>
      </c>
      <c r="R207" s="2" t="s">
        <v>26</v>
      </c>
    </row>
    <row r="208" spans="1:18" x14ac:dyDescent="0.3">
      <c r="A208" s="1" t="s">
        <v>1380</v>
      </c>
      <c r="B208" s="2" t="s">
        <v>1381</v>
      </c>
      <c r="C208" s="2" t="s">
        <v>1382</v>
      </c>
      <c r="D208" s="2" t="s">
        <v>1383</v>
      </c>
      <c r="E208" s="2" t="s">
        <v>1384</v>
      </c>
      <c r="F208" s="2"/>
      <c r="G208" s="2" t="s">
        <v>1385</v>
      </c>
      <c r="H208" s="2" t="s">
        <v>17</v>
      </c>
      <c r="I208" s="2">
        <v>92069</v>
      </c>
      <c r="J208" s="2" t="s">
        <v>8</v>
      </c>
      <c r="K208" s="2" t="s">
        <v>1386</v>
      </c>
      <c r="L208" s="2">
        <v>7604812458</v>
      </c>
      <c r="M208" s="2" t="s">
        <v>26</v>
      </c>
      <c r="N208" s="8" t="s">
        <v>11</v>
      </c>
      <c r="O208" s="2" t="s">
        <v>26</v>
      </c>
      <c r="P208" s="2" t="s">
        <v>26</v>
      </c>
      <c r="Q208" s="2" t="s">
        <v>26</v>
      </c>
      <c r="R208" s="2" t="s">
        <v>26</v>
      </c>
    </row>
    <row r="209" spans="1:18" x14ac:dyDescent="0.3">
      <c r="A209" s="1" t="s">
        <v>1387</v>
      </c>
      <c r="B209" s="2" t="s">
        <v>1388</v>
      </c>
      <c r="C209" s="2" t="s">
        <v>385</v>
      </c>
      <c r="D209" s="2" t="s">
        <v>1389</v>
      </c>
      <c r="E209" s="2" t="s">
        <v>1390</v>
      </c>
      <c r="F209" s="2" t="s">
        <v>1391</v>
      </c>
      <c r="G209" s="2" t="s">
        <v>1392</v>
      </c>
      <c r="H209" s="2" t="s">
        <v>17</v>
      </c>
      <c r="I209" s="2">
        <v>92660</v>
      </c>
      <c r="J209" s="2" t="s">
        <v>8</v>
      </c>
      <c r="K209" s="2" t="s">
        <v>1393</v>
      </c>
      <c r="L209" s="2" t="s">
        <v>1394</v>
      </c>
      <c r="M209" s="8" t="s">
        <v>11</v>
      </c>
      <c r="N209" s="2" t="s">
        <v>26</v>
      </c>
      <c r="O209" s="2" t="s">
        <v>26</v>
      </c>
      <c r="P209" s="2" t="s">
        <v>26</v>
      </c>
      <c r="Q209" s="2" t="s">
        <v>26</v>
      </c>
      <c r="R209" s="2" t="s">
        <v>26</v>
      </c>
    </row>
    <row r="210" spans="1:18" x14ac:dyDescent="0.3">
      <c r="A210" s="1" t="s">
        <v>1395</v>
      </c>
      <c r="B210" s="2" t="s">
        <v>1396</v>
      </c>
      <c r="C210" s="2" t="s">
        <v>29</v>
      </c>
      <c r="D210" s="2" t="s">
        <v>1397</v>
      </c>
      <c r="E210" s="2" t="s">
        <v>1398</v>
      </c>
      <c r="F210" s="2"/>
      <c r="G210" s="2" t="s">
        <v>1399</v>
      </c>
      <c r="H210" s="2" t="s">
        <v>74</v>
      </c>
      <c r="I210" s="2">
        <v>0</v>
      </c>
      <c r="J210" s="2" t="s">
        <v>1400</v>
      </c>
      <c r="K210" s="2" t="s">
        <v>1401</v>
      </c>
      <c r="L210" s="2" t="s">
        <v>1402</v>
      </c>
      <c r="M210" s="2" t="s">
        <v>26</v>
      </c>
      <c r="N210" s="2" t="s">
        <v>26</v>
      </c>
      <c r="O210" s="2" t="s">
        <v>26</v>
      </c>
      <c r="P210" s="2" t="s">
        <v>26</v>
      </c>
      <c r="Q210" s="8" t="s">
        <v>11</v>
      </c>
      <c r="R210" s="2" t="s">
        <v>26</v>
      </c>
    </row>
    <row r="211" spans="1:18" x14ac:dyDescent="0.3">
      <c r="A211" s="1" t="s">
        <v>1403</v>
      </c>
      <c r="B211" s="2" t="s">
        <v>1404</v>
      </c>
      <c r="C211" s="2" t="s">
        <v>78</v>
      </c>
      <c r="D211" s="2" t="s">
        <v>239</v>
      </c>
      <c r="E211" s="2" t="s">
        <v>1405</v>
      </c>
      <c r="F211" s="2"/>
      <c r="G211" s="2" t="s">
        <v>241</v>
      </c>
      <c r="H211" s="2" t="s">
        <v>242</v>
      </c>
      <c r="I211" s="2">
        <v>84109</v>
      </c>
      <c r="J211" s="2" t="s">
        <v>8</v>
      </c>
      <c r="K211" s="2" t="s">
        <v>1406</v>
      </c>
      <c r="L211" s="2" t="s">
        <v>1407</v>
      </c>
      <c r="M211" s="8" t="s">
        <v>11</v>
      </c>
      <c r="N211" s="2" t="s">
        <v>26</v>
      </c>
      <c r="O211" s="2" t="s">
        <v>26</v>
      </c>
      <c r="P211" s="2" t="s">
        <v>26</v>
      </c>
      <c r="Q211" s="2" t="s">
        <v>26</v>
      </c>
      <c r="R211" s="2" t="s">
        <v>26</v>
      </c>
    </row>
    <row r="212" spans="1:18" x14ac:dyDescent="0.3">
      <c r="A212" s="1" t="s">
        <v>1403</v>
      </c>
      <c r="B212" s="2" t="s">
        <v>1408</v>
      </c>
      <c r="C212" s="2" t="s">
        <v>78</v>
      </c>
      <c r="D212" s="2" t="s">
        <v>1409</v>
      </c>
      <c r="E212" s="2" t="s">
        <v>1410</v>
      </c>
      <c r="F212" s="2"/>
      <c r="G212" s="2" t="s">
        <v>488</v>
      </c>
      <c r="H212" s="2" t="s">
        <v>489</v>
      </c>
      <c r="I212" s="2">
        <v>15260</v>
      </c>
      <c r="J212" s="2" t="s">
        <v>8</v>
      </c>
      <c r="K212" s="2" t="s">
        <v>1411</v>
      </c>
      <c r="L212" s="2">
        <v>6107871961</v>
      </c>
      <c r="M212" s="8" t="s">
        <v>11</v>
      </c>
      <c r="N212" s="2" t="s">
        <v>26</v>
      </c>
      <c r="O212" s="2" t="s">
        <v>26</v>
      </c>
      <c r="P212" s="2" t="s">
        <v>26</v>
      </c>
      <c r="Q212" s="2" t="s">
        <v>26</v>
      </c>
      <c r="R212" s="2" t="s">
        <v>26</v>
      </c>
    </row>
    <row r="213" spans="1:18" x14ac:dyDescent="0.3">
      <c r="A213" s="1" t="s">
        <v>1412</v>
      </c>
      <c r="B213" s="2" t="s">
        <v>1413</v>
      </c>
      <c r="C213" s="2" t="s">
        <v>1414</v>
      </c>
      <c r="D213" s="2" t="s">
        <v>756</v>
      </c>
      <c r="E213" s="2" t="s">
        <v>148</v>
      </c>
      <c r="F213" s="2"/>
      <c r="G213" s="2" t="s">
        <v>149</v>
      </c>
      <c r="H213" s="2" t="s">
        <v>17</v>
      </c>
      <c r="I213" s="2">
        <v>90505</v>
      </c>
      <c r="J213" s="2" t="s">
        <v>8</v>
      </c>
      <c r="K213" s="2" t="s">
        <v>1415</v>
      </c>
      <c r="L213" s="2" t="s">
        <v>1416</v>
      </c>
      <c r="M213" s="2" t="s">
        <v>26</v>
      </c>
      <c r="N213" s="2" t="s">
        <v>26</v>
      </c>
      <c r="O213" s="2" t="s">
        <v>26</v>
      </c>
      <c r="P213" s="8" t="s">
        <v>11</v>
      </c>
      <c r="Q213" s="2" t="s">
        <v>26</v>
      </c>
      <c r="R213" s="2" t="s">
        <v>26</v>
      </c>
    </row>
    <row r="214" spans="1:18" x14ac:dyDescent="0.3">
      <c r="A214" s="1" t="s">
        <v>1417</v>
      </c>
      <c r="B214" s="2" t="s">
        <v>1418</v>
      </c>
      <c r="C214" s="2" t="s">
        <v>1419</v>
      </c>
      <c r="D214" s="2" t="s">
        <v>1420</v>
      </c>
      <c r="E214" s="2" t="s">
        <v>1421</v>
      </c>
      <c r="F214" s="2"/>
      <c r="G214" s="2" t="s">
        <v>1422</v>
      </c>
      <c r="H214" s="2" t="s">
        <v>74</v>
      </c>
      <c r="I214" s="2">
        <v>34124</v>
      </c>
      <c r="J214" s="2" t="s">
        <v>1346</v>
      </c>
      <c r="K214" s="2" t="s">
        <v>1423</v>
      </c>
      <c r="L214" s="2" t="s">
        <v>1424</v>
      </c>
      <c r="M214" s="2" t="s">
        <v>26</v>
      </c>
      <c r="N214" s="2" t="s">
        <v>26</v>
      </c>
      <c r="O214" s="2" t="s">
        <v>26</v>
      </c>
      <c r="P214" s="8" t="s">
        <v>11</v>
      </c>
      <c r="Q214" s="2" t="s">
        <v>26</v>
      </c>
      <c r="R214" s="2" t="s">
        <v>26</v>
      </c>
    </row>
    <row r="215" spans="1:18" x14ac:dyDescent="0.3">
      <c r="A215" s="1" t="s">
        <v>1425</v>
      </c>
      <c r="B215" s="2" t="s">
        <v>1426</v>
      </c>
      <c r="C215" s="2" t="s">
        <v>385</v>
      </c>
      <c r="D215" s="2" t="s">
        <v>1299</v>
      </c>
      <c r="E215" s="2" t="s">
        <v>1427</v>
      </c>
      <c r="F215" s="2" t="s">
        <v>1428</v>
      </c>
      <c r="G215" s="2" t="s">
        <v>1429</v>
      </c>
      <c r="H215" s="2" t="s">
        <v>403</v>
      </c>
      <c r="I215" s="2" t="s">
        <v>1430</v>
      </c>
      <c r="J215" s="2" t="s">
        <v>8</v>
      </c>
      <c r="K215" s="2" t="s">
        <v>1431</v>
      </c>
      <c r="L215" s="2">
        <v>7085601657</v>
      </c>
      <c r="M215" s="8" t="s">
        <v>11</v>
      </c>
      <c r="N215" s="2" t="s">
        <v>26</v>
      </c>
      <c r="O215" s="2" t="s">
        <v>26</v>
      </c>
      <c r="P215" s="2" t="s">
        <v>26</v>
      </c>
      <c r="Q215" s="2" t="s">
        <v>26</v>
      </c>
      <c r="R215" s="2" t="s">
        <v>26</v>
      </c>
    </row>
    <row r="216" spans="1:18" x14ac:dyDescent="0.3">
      <c r="A216" s="1" t="s">
        <v>1432</v>
      </c>
      <c r="B216" s="2" t="s">
        <v>1433</v>
      </c>
      <c r="C216" s="2" t="s">
        <v>280</v>
      </c>
      <c r="D216" s="2" t="s">
        <v>176</v>
      </c>
      <c r="E216" s="2" t="s">
        <v>1434</v>
      </c>
      <c r="F216" s="2"/>
      <c r="G216" s="2" t="s">
        <v>179</v>
      </c>
      <c r="H216" s="2" t="s">
        <v>180</v>
      </c>
      <c r="I216" s="2">
        <v>68588</v>
      </c>
      <c r="J216" s="2" t="s">
        <v>8</v>
      </c>
      <c r="K216" s="2" t="s">
        <v>1435</v>
      </c>
      <c r="L216" s="2" t="s">
        <v>1436</v>
      </c>
      <c r="M216" s="2" t="s">
        <v>26</v>
      </c>
      <c r="N216" s="2" t="s">
        <v>26</v>
      </c>
      <c r="O216" s="2" t="s">
        <v>26</v>
      </c>
      <c r="P216" s="2" t="s">
        <v>26</v>
      </c>
      <c r="Q216" s="8" t="s">
        <v>11</v>
      </c>
      <c r="R216" s="2" t="s">
        <v>26</v>
      </c>
    </row>
    <row r="217" spans="1:18" x14ac:dyDescent="0.3">
      <c r="A217" s="1" t="s">
        <v>1432</v>
      </c>
      <c r="B217" s="2" t="s">
        <v>1437</v>
      </c>
      <c r="C217" s="2" t="s">
        <v>505</v>
      </c>
      <c r="D217" s="2" t="s">
        <v>131</v>
      </c>
      <c r="E217" s="2" t="s">
        <v>132</v>
      </c>
      <c r="F217" s="2"/>
      <c r="G217" s="2" t="s">
        <v>133</v>
      </c>
      <c r="H217" s="2" t="s">
        <v>134</v>
      </c>
      <c r="I217" s="2">
        <v>85714</v>
      </c>
      <c r="J217" s="2" t="s">
        <v>8</v>
      </c>
      <c r="K217" s="2" t="s">
        <v>1438</v>
      </c>
      <c r="L217" s="2">
        <v>4012658064</v>
      </c>
      <c r="M217" s="2" t="s">
        <v>26</v>
      </c>
      <c r="N217" s="2" t="s">
        <v>26</v>
      </c>
      <c r="O217" s="2" t="s">
        <v>26</v>
      </c>
      <c r="P217" s="8" t="s">
        <v>11</v>
      </c>
      <c r="Q217" s="2" t="s">
        <v>26</v>
      </c>
      <c r="R217" s="2" t="s">
        <v>26</v>
      </c>
    </row>
    <row r="218" spans="1:18" x14ac:dyDescent="0.3">
      <c r="A218" s="1" t="s">
        <v>1432</v>
      </c>
      <c r="B218" s="2" t="s">
        <v>1439</v>
      </c>
      <c r="C218" s="2" t="s">
        <v>1440</v>
      </c>
      <c r="D218" s="2" t="s">
        <v>1389</v>
      </c>
      <c r="E218" s="2" t="s">
        <v>345</v>
      </c>
      <c r="F218" s="2"/>
      <c r="G218" s="2" t="s">
        <v>424</v>
      </c>
      <c r="H218" s="2" t="s">
        <v>17</v>
      </c>
      <c r="I218" s="2" t="s">
        <v>1441</v>
      </c>
      <c r="J218" s="2" t="s">
        <v>8</v>
      </c>
      <c r="K218" s="2" t="s">
        <v>1442</v>
      </c>
      <c r="L218" s="2" t="s">
        <v>1443</v>
      </c>
      <c r="M218" s="2" t="s">
        <v>26</v>
      </c>
      <c r="N218" s="2" t="s">
        <v>26</v>
      </c>
      <c r="O218" s="2" t="s">
        <v>26</v>
      </c>
      <c r="P218" s="2" t="s">
        <v>26</v>
      </c>
      <c r="Q218" s="8" t="s">
        <v>11</v>
      </c>
      <c r="R218" s="2" t="s">
        <v>26</v>
      </c>
    </row>
    <row r="219" spans="1:18" x14ac:dyDescent="0.3">
      <c r="A219" s="1" t="s">
        <v>1444</v>
      </c>
      <c r="B219" s="2" t="s">
        <v>1445</v>
      </c>
      <c r="C219" s="2"/>
      <c r="D219" s="2" t="s">
        <v>1446</v>
      </c>
      <c r="E219" s="2" t="s">
        <v>1447</v>
      </c>
      <c r="F219" s="2"/>
      <c r="G219" s="2" t="s">
        <v>1448</v>
      </c>
      <c r="H219" s="2" t="s">
        <v>125</v>
      </c>
      <c r="I219" s="2">
        <v>60191</v>
      </c>
      <c r="J219" s="2" t="s">
        <v>8</v>
      </c>
      <c r="K219" s="2" t="s">
        <v>1449</v>
      </c>
      <c r="L219" s="2">
        <v>6309265505</v>
      </c>
      <c r="M219" s="2" t="s">
        <v>26</v>
      </c>
      <c r="N219" s="2" t="s">
        <v>26</v>
      </c>
      <c r="O219" s="2" t="s">
        <v>26</v>
      </c>
      <c r="P219" s="8" t="s">
        <v>11</v>
      </c>
      <c r="Q219" s="2" t="s">
        <v>26</v>
      </c>
      <c r="R219" s="2" t="s">
        <v>26</v>
      </c>
    </row>
    <row r="220" spans="1:18" x14ac:dyDescent="0.3">
      <c r="A220" s="1" t="s">
        <v>1450</v>
      </c>
      <c r="B220" s="2" t="s">
        <v>1451</v>
      </c>
      <c r="C220" s="2" t="s">
        <v>1452</v>
      </c>
      <c r="D220" s="2" t="s">
        <v>782</v>
      </c>
      <c r="E220" s="2" t="s">
        <v>1453</v>
      </c>
      <c r="F220" s="2"/>
      <c r="G220" s="2" t="s">
        <v>1454</v>
      </c>
      <c r="H220" s="2" t="s">
        <v>74</v>
      </c>
      <c r="I220" s="2" t="s">
        <v>1455</v>
      </c>
      <c r="J220" s="2" t="s">
        <v>1456</v>
      </c>
      <c r="K220" s="2" t="s">
        <v>1457</v>
      </c>
      <c r="L220" s="2" t="s">
        <v>1455</v>
      </c>
      <c r="M220" s="2" t="s">
        <v>26</v>
      </c>
      <c r="N220" s="2" t="s">
        <v>26</v>
      </c>
      <c r="O220" s="2" t="s">
        <v>26</v>
      </c>
      <c r="P220" s="8" t="s">
        <v>11</v>
      </c>
      <c r="Q220" s="2" t="s">
        <v>26</v>
      </c>
      <c r="R220" s="2" t="s">
        <v>26</v>
      </c>
    </row>
    <row r="221" spans="1:18" x14ac:dyDescent="0.3">
      <c r="A221" s="1" t="s">
        <v>1458</v>
      </c>
      <c r="B221" s="2" t="s">
        <v>1459</v>
      </c>
      <c r="C221" s="2" t="s">
        <v>253</v>
      </c>
      <c r="D221" s="2" t="s">
        <v>1460</v>
      </c>
      <c r="E221" s="2" t="s">
        <v>1461</v>
      </c>
      <c r="F221" s="2" t="s">
        <v>1462</v>
      </c>
      <c r="G221" s="2" t="s">
        <v>1463</v>
      </c>
      <c r="H221" s="2" t="s">
        <v>65</v>
      </c>
      <c r="I221" s="2">
        <v>32610</v>
      </c>
      <c r="J221" s="2" t="s">
        <v>8</v>
      </c>
      <c r="K221" s="2" t="s">
        <v>1464</v>
      </c>
      <c r="L221" s="2" t="s">
        <v>1465</v>
      </c>
      <c r="M221" s="2" t="s">
        <v>26</v>
      </c>
      <c r="N221" s="2" t="s">
        <v>26</v>
      </c>
      <c r="O221" s="2" t="s">
        <v>26</v>
      </c>
      <c r="P221" s="2" t="s">
        <v>26</v>
      </c>
      <c r="Q221" s="8" t="s">
        <v>11</v>
      </c>
      <c r="R221" s="2" t="s">
        <v>26</v>
      </c>
    </row>
    <row r="222" spans="1:18" x14ac:dyDescent="0.3">
      <c r="A222" s="1" t="s">
        <v>1458</v>
      </c>
      <c r="B222" s="2" t="s">
        <v>433</v>
      </c>
      <c r="C222" s="2" t="s">
        <v>1466</v>
      </c>
      <c r="D222" s="2" t="s">
        <v>1467</v>
      </c>
      <c r="E222" s="2" t="s">
        <v>1468</v>
      </c>
      <c r="F222" s="2" t="s">
        <v>1469</v>
      </c>
      <c r="G222" s="2" t="s">
        <v>1470</v>
      </c>
      <c r="H222" s="2" t="s">
        <v>17</v>
      </c>
      <c r="I222" s="2">
        <v>91711</v>
      </c>
      <c r="J222" s="2" t="s">
        <v>8</v>
      </c>
      <c r="K222" s="2" t="s">
        <v>1471</v>
      </c>
      <c r="L222" s="2">
        <v>9094479472</v>
      </c>
      <c r="M222" s="2" t="s">
        <v>26</v>
      </c>
      <c r="N222" s="8" t="s">
        <v>11</v>
      </c>
      <c r="O222" s="2" t="s">
        <v>26</v>
      </c>
      <c r="P222" s="2" t="s">
        <v>26</v>
      </c>
      <c r="Q222" s="2" t="s">
        <v>26</v>
      </c>
      <c r="R222" s="2" t="s">
        <v>26</v>
      </c>
    </row>
    <row r="223" spans="1:18" x14ac:dyDescent="0.3">
      <c r="A223" s="1" t="s">
        <v>1472</v>
      </c>
      <c r="B223" s="2" t="s">
        <v>1473</v>
      </c>
      <c r="C223" s="2" t="s">
        <v>329</v>
      </c>
      <c r="D223" s="2" t="s">
        <v>224</v>
      </c>
      <c r="E223" s="2" t="s">
        <v>1474</v>
      </c>
      <c r="F223" s="2"/>
      <c r="G223" s="2" t="s">
        <v>1475</v>
      </c>
      <c r="H223" s="2" t="s">
        <v>7</v>
      </c>
      <c r="I223" s="2">
        <v>2472</v>
      </c>
      <c r="J223" s="2" t="s">
        <v>8</v>
      </c>
      <c r="K223" s="2" t="s">
        <v>1476</v>
      </c>
      <c r="L223" s="2">
        <v>4156861448</v>
      </c>
      <c r="M223" s="2" t="s">
        <v>26</v>
      </c>
      <c r="N223" s="2" t="s">
        <v>26</v>
      </c>
      <c r="O223" s="2" t="s">
        <v>26</v>
      </c>
      <c r="P223" s="8" t="s">
        <v>11</v>
      </c>
      <c r="Q223" s="2" t="s">
        <v>26</v>
      </c>
      <c r="R223" s="2" t="s">
        <v>26</v>
      </c>
    </row>
    <row r="224" spans="1:18" x14ac:dyDescent="0.3">
      <c r="A224" s="1" t="s">
        <v>1472</v>
      </c>
      <c r="B224" s="2" t="s">
        <v>1477</v>
      </c>
      <c r="C224" s="2" t="s">
        <v>1478</v>
      </c>
      <c r="D224" s="2" t="s">
        <v>1389</v>
      </c>
      <c r="E224" s="2" t="s">
        <v>1479</v>
      </c>
      <c r="F224" s="2"/>
      <c r="G224" s="2" t="s">
        <v>424</v>
      </c>
      <c r="H224" s="2" t="s">
        <v>17</v>
      </c>
      <c r="I224" s="2">
        <v>92617</v>
      </c>
      <c r="J224" s="2" t="s">
        <v>8</v>
      </c>
      <c r="K224" s="2" t="s">
        <v>1480</v>
      </c>
      <c r="L224" s="2">
        <v>2066029340</v>
      </c>
      <c r="M224" s="8" t="s">
        <v>11</v>
      </c>
      <c r="N224" s="2" t="s">
        <v>26</v>
      </c>
      <c r="O224" s="2" t="s">
        <v>26</v>
      </c>
      <c r="P224" s="2" t="s">
        <v>26</v>
      </c>
      <c r="Q224" s="2" t="s">
        <v>26</v>
      </c>
      <c r="R224" s="2" t="s">
        <v>26</v>
      </c>
    </row>
    <row r="225" spans="1:18" x14ac:dyDescent="0.3">
      <c r="A225" s="1" t="s">
        <v>1481</v>
      </c>
      <c r="B225" s="2" t="s">
        <v>1482</v>
      </c>
      <c r="C225" s="2" t="s">
        <v>385</v>
      </c>
      <c r="D225" s="2" t="s">
        <v>1483</v>
      </c>
      <c r="E225" s="2" t="s">
        <v>1484</v>
      </c>
      <c r="F225" s="2"/>
      <c r="G225" s="2" t="s">
        <v>1485</v>
      </c>
      <c r="H225" s="2" t="s">
        <v>1486</v>
      </c>
      <c r="I225" s="2">
        <v>80224</v>
      </c>
      <c r="J225" s="2" t="s">
        <v>8</v>
      </c>
      <c r="K225" s="2" t="s">
        <v>1487</v>
      </c>
      <c r="L225" s="2">
        <v>13172013821</v>
      </c>
      <c r="M225" s="2" t="s">
        <v>26</v>
      </c>
      <c r="N225" s="2" t="s">
        <v>26</v>
      </c>
      <c r="O225" s="8" t="s">
        <v>11</v>
      </c>
      <c r="P225" s="2" t="s">
        <v>26</v>
      </c>
      <c r="Q225" s="2" t="s">
        <v>26</v>
      </c>
      <c r="R225" s="2" t="s">
        <v>26</v>
      </c>
    </row>
    <row r="226" spans="1:18" x14ac:dyDescent="0.3">
      <c r="A226" s="1" t="s">
        <v>1488</v>
      </c>
      <c r="B226" s="2" t="s">
        <v>658</v>
      </c>
      <c r="C226" s="2" t="s">
        <v>253</v>
      </c>
      <c r="D226" s="2" t="s">
        <v>1489</v>
      </c>
      <c r="E226" s="2" t="s">
        <v>1490</v>
      </c>
      <c r="F226" s="2" t="s">
        <v>1491</v>
      </c>
      <c r="G226" s="2" t="s">
        <v>1492</v>
      </c>
      <c r="H226" s="2" t="s">
        <v>74</v>
      </c>
      <c r="I226" s="2">
        <v>560012</v>
      </c>
      <c r="J226" s="2" t="s">
        <v>36</v>
      </c>
      <c r="K226" s="2" t="s">
        <v>1493</v>
      </c>
      <c r="L226" s="2">
        <v>917760806765</v>
      </c>
      <c r="M226" s="2" t="s">
        <v>26</v>
      </c>
      <c r="N226" s="2" t="s">
        <v>26</v>
      </c>
      <c r="O226" s="2" t="s">
        <v>26</v>
      </c>
      <c r="P226" s="2" t="s">
        <v>26</v>
      </c>
      <c r="Q226" s="8" t="s">
        <v>11</v>
      </c>
      <c r="R226" s="2" t="s">
        <v>26</v>
      </c>
    </row>
    <row r="227" spans="1:18" x14ac:dyDescent="0.3">
      <c r="A227" s="1" t="s">
        <v>1494</v>
      </c>
      <c r="B227" s="2" t="s">
        <v>1495</v>
      </c>
      <c r="C227" s="2" t="s">
        <v>1496</v>
      </c>
      <c r="D227" s="2" t="s">
        <v>1497</v>
      </c>
      <c r="E227" s="2" t="s">
        <v>1015</v>
      </c>
      <c r="F227" s="2"/>
      <c r="G227" s="2" t="s">
        <v>389</v>
      </c>
      <c r="H227" s="2" t="s">
        <v>34</v>
      </c>
      <c r="I227" s="2">
        <v>47907</v>
      </c>
      <c r="J227" s="2" t="s">
        <v>8</v>
      </c>
      <c r="K227" s="2" t="s">
        <v>1498</v>
      </c>
      <c r="L227" s="2">
        <v>7654940135</v>
      </c>
      <c r="M227" s="2" t="s">
        <v>26</v>
      </c>
      <c r="N227" s="2" t="s">
        <v>26</v>
      </c>
      <c r="O227" s="2" t="s">
        <v>26</v>
      </c>
      <c r="P227" s="2" t="s">
        <v>26</v>
      </c>
      <c r="Q227" s="8" t="s">
        <v>11</v>
      </c>
      <c r="R227" s="2" t="s">
        <v>26</v>
      </c>
    </row>
    <row r="228" spans="1:18" x14ac:dyDescent="0.3">
      <c r="A228" s="1" t="s">
        <v>1499</v>
      </c>
      <c r="B228" s="2" t="s">
        <v>1500</v>
      </c>
      <c r="C228" s="2" t="s">
        <v>1501</v>
      </c>
      <c r="D228" s="2" t="s">
        <v>379</v>
      </c>
      <c r="E228" s="2" t="s">
        <v>380</v>
      </c>
      <c r="F228" s="2"/>
      <c r="G228" s="2" t="s">
        <v>16</v>
      </c>
      <c r="H228" s="2" t="s">
        <v>17</v>
      </c>
      <c r="I228" s="2">
        <v>92121</v>
      </c>
      <c r="J228" s="2" t="s">
        <v>8</v>
      </c>
      <c r="K228" s="2" t="s">
        <v>1502</v>
      </c>
      <c r="L228" s="2" t="s">
        <v>382</v>
      </c>
      <c r="M228" s="2" t="s">
        <v>26</v>
      </c>
      <c r="N228" s="2" t="s">
        <v>26</v>
      </c>
      <c r="O228" s="2" t="s">
        <v>26</v>
      </c>
      <c r="P228" s="8" t="s">
        <v>11</v>
      </c>
      <c r="Q228" s="2" t="s">
        <v>26</v>
      </c>
      <c r="R228" s="2" t="s">
        <v>26</v>
      </c>
    </row>
    <row r="229" spans="1:18" x14ac:dyDescent="0.3">
      <c r="A229" s="1" t="s">
        <v>1503</v>
      </c>
      <c r="B229" s="2" t="s">
        <v>1504</v>
      </c>
      <c r="C229" s="2" t="s">
        <v>13</v>
      </c>
      <c r="D229" s="2" t="s">
        <v>14</v>
      </c>
      <c r="E229" s="2" t="s">
        <v>1505</v>
      </c>
      <c r="F229" s="2"/>
      <c r="G229" s="2" t="s">
        <v>16</v>
      </c>
      <c r="H229" s="2" t="s">
        <v>17</v>
      </c>
      <c r="I229" s="2">
        <v>92130</v>
      </c>
      <c r="J229" s="2" t="s">
        <v>8</v>
      </c>
      <c r="K229" s="2" t="s">
        <v>1506</v>
      </c>
      <c r="L229" s="2">
        <v>18586177600</v>
      </c>
      <c r="M229" s="2" t="s">
        <v>26</v>
      </c>
      <c r="N229" s="2" t="s">
        <v>26</v>
      </c>
      <c r="O229" s="2" t="s">
        <v>26</v>
      </c>
      <c r="P229" s="8" t="s">
        <v>11</v>
      </c>
      <c r="Q229" s="2" t="s">
        <v>26</v>
      </c>
      <c r="R229" s="2" t="s">
        <v>26</v>
      </c>
    </row>
    <row r="230" spans="1:18" x14ac:dyDescent="0.3">
      <c r="A230" s="1" t="s">
        <v>1507</v>
      </c>
      <c r="B230" s="2" t="s">
        <v>1508</v>
      </c>
      <c r="C230" s="2" t="s">
        <v>1509</v>
      </c>
      <c r="D230" s="2" t="s">
        <v>1510</v>
      </c>
      <c r="E230" s="2" t="s">
        <v>1511</v>
      </c>
      <c r="F230" s="2"/>
      <c r="G230" s="2" t="s">
        <v>1512</v>
      </c>
      <c r="H230" s="2" t="s">
        <v>74</v>
      </c>
      <c r="I230" s="2">
        <v>33662</v>
      </c>
      <c r="J230" s="2" t="s">
        <v>1346</v>
      </c>
      <c r="K230" s="2" t="s">
        <v>1513</v>
      </c>
      <c r="L230" s="2" t="s">
        <v>1514</v>
      </c>
      <c r="M230" s="2" t="s">
        <v>26</v>
      </c>
      <c r="N230" s="2" t="s">
        <v>26</v>
      </c>
      <c r="O230" s="2" t="s">
        <v>26</v>
      </c>
      <c r="P230" s="2" t="s">
        <v>26</v>
      </c>
      <c r="Q230" s="8" t="s">
        <v>11</v>
      </c>
      <c r="R230" s="2" t="s">
        <v>26</v>
      </c>
    </row>
    <row r="231" spans="1:18" x14ac:dyDescent="0.3">
      <c r="A231" s="1" t="s">
        <v>1515</v>
      </c>
      <c r="B231" s="2" t="s">
        <v>1516</v>
      </c>
      <c r="C231" s="2" t="s">
        <v>471</v>
      </c>
      <c r="D231" s="2" t="s">
        <v>366</v>
      </c>
      <c r="E231" s="2" t="s">
        <v>1517</v>
      </c>
      <c r="F231" s="2"/>
      <c r="G231" s="2" t="s">
        <v>1518</v>
      </c>
      <c r="H231" s="2" t="s">
        <v>195</v>
      </c>
      <c r="I231" s="2">
        <v>10594</v>
      </c>
      <c r="J231" s="2" t="s">
        <v>8</v>
      </c>
      <c r="K231" s="2" t="s">
        <v>1519</v>
      </c>
      <c r="L231" s="2" t="s">
        <v>1520</v>
      </c>
      <c r="M231" s="2" t="s">
        <v>26</v>
      </c>
      <c r="N231" s="2" t="s">
        <v>26</v>
      </c>
      <c r="O231" s="2" t="s">
        <v>26</v>
      </c>
      <c r="P231" s="2" t="s">
        <v>26</v>
      </c>
      <c r="Q231" s="2" t="s">
        <v>26</v>
      </c>
      <c r="R231" s="8" t="s">
        <v>11</v>
      </c>
    </row>
    <row r="232" spans="1:18" x14ac:dyDescent="0.3">
      <c r="A232" s="1" t="s">
        <v>1521</v>
      </c>
      <c r="B232" s="2" t="s">
        <v>1522</v>
      </c>
      <c r="C232" s="2" t="s">
        <v>1523</v>
      </c>
      <c r="D232" s="2" t="s">
        <v>519</v>
      </c>
      <c r="E232" s="2" t="s">
        <v>1524</v>
      </c>
      <c r="F232" s="2"/>
      <c r="G232" s="2" t="s">
        <v>1525</v>
      </c>
      <c r="H232" s="2" t="s">
        <v>34</v>
      </c>
      <c r="I232" s="2">
        <v>46106</v>
      </c>
      <c r="J232" s="2" t="s">
        <v>8</v>
      </c>
      <c r="K232" s="2" t="s">
        <v>1526</v>
      </c>
      <c r="L232" s="2">
        <v>6266442478</v>
      </c>
      <c r="M232" s="2" t="s">
        <v>26</v>
      </c>
      <c r="N232" s="2" t="s">
        <v>26</v>
      </c>
      <c r="O232" s="2" t="s">
        <v>26</v>
      </c>
      <c r="P232" s="8" t="s">
        <v>11</v>
      </c>
      <c r="Q232" s="2" t="s">
        <v>26</v>
      </c>
      <c r="R232" s="2" t="s">
        <v>26</v>
      </c>
    </row>
    <row r="233" spans="1:18" x14ac:dyDescent="0.3">
      <c r="A233" s="1" t="s">
        <v>1527</v>
      </c>
      <c r="B233" s="2" t="s">
        <v>470</v>
      </c>
      <c r="C233" s="2" t="s">
        <v>1528</v>
      </c>
      <c r="D233" s="2" t="s">
        <v>1529</v>
      </c>
      <c r="E233" s="2" t="s">
        <v>1530</v>
      </c>
      <c r="F233" s="2" t="s">
        <v>1531</v>
      </c>
      <c r="G233" s="2" t="s">
        <v>1532</v>
      </c>
      <c r="H233" s="2" t="s">
        <v>1533</v>
      </c>
      <c r="I233" s="2">
        <v>19702</v>
      </c>
      <c r="J233" s="2" t="s">
        <v>8</v>
      </c>
      <c r="K233" s="2" t="s">
        <v>1534</v>
      </c>
      <c r="L233" s="2">
        <v>3029475288</v>
      </c>
      <c r="M233" s="2" t="s">
        <v>26</v>
      </c>
      <c r="N233" s="2" t="s">
        <v>26</v>
      </c>
      <c r="O233" s="2" t="s">
        <v>26</v>
      </c>
      <c r="P233" s="8" t="s">
        <v>11</v>
      </c>
      <c r="Q233" s="2" t="s">
        <v>26</v>
      </c>
      <c r="R233" s="2" t="s">
        <v>26</v>
      </c>
    </row>
    <row r="234" spans="1:18" x14ac:dyDescent="0.3">
      <c r="A234" s="1" t="s">
        <v>1535</v>
      </c>
      <c r="B234" s="2" t="s">
        <v>1536</v>
      </c>
      <c r="C234" s="2" t="s">
        <v>1537</v>
      </c>
      <c r="D234" s="2" t="s">
        <v>1538</v>
      </c>
      <c r="E234" s="2" t="s">
        <v>1539</v>
      </c>
      <c r="F234" s="2"/>
      <c r="G234" s="2" t="s">
        <v>1540</v>
      </c>
      <c r="H234" s="2" t="s">
        <v>74</v>
      </c>
      <c r="I234" s="2" t="s">
        <v>1541</v>
      </c>
      <c r="J234" s="2" t="s">
        <v>171</v>
      </c>
      <c r="K234" s="2" t="s">
        <v>1542</v>
      </c>
      <c r="L234" s="2" t="s">
        <v>1543</v>
      </c>
      <c r="M234" s="2" t="s">
        <v>26</v>
      </c>
      <c r="N234" s="8" t="s">
        <v>11</v>
      </c>
      <c r="O234" s="2" t="s">
        <v>26</v>
      </c>
      <c r="P234" s="2" t="s">
        <v>26</v>
      </c>
      <c r="Q234" s="2" t="s">
        <v>26</v>
      </c>
      <c r="R234" s="2" t="s">
        <v>26</v>
      </c>
    </row>
    <row r="235" spans="1:18" x14ac:dyDescent="0.3">
      <c r="A235" s="1" t="s">
        <v>1544</v>
      </c>
      <c r="B235" s="2" t="s">
        <v>1341</v>
      </c>
      <c r="C235" s="2" t="s">
        <v>13</v>
      </c>
      <c r="D235" s="2" t="s">
        <v>1545</v>
      </c>
      <c r="E235" s="2" t="s">
        <v>1546</v>
      </c>
      <c r="F235" s="2"/>
      <c r="G235" s="2" t="s">
        <v>116</v>
      </c>
      <c r="H235" s="2" t="s">
        <v>17</v>
      </c>
      <c r="I235" s="2">
        <v>92037</v>
      </c>
      <c r="J235" s="2" t="s">
        <v>8</v>
      </c>
      <c r="K235" s="2" t="s">
        <v>1547</v>
      </c>
      <c r="L235" s="2">
        <v>8588806204</v>
      </c>
      <c r="M235" s="2" t="s">
        <v>26</v>
      </c>
      <c r="N235" s="8" t="s">
        <v>11</v>
      </c>
      <c r="O235" s="2" t="s">
        <v>26</v>
      </c>
      <c r="P235" s="2" t="s">
        <v>26</v>
      </c>
      <c r="Q235" s="2" t="s">
        <v>26</v>
      </c>
      <c r="R235" s="2" t="s">
        <v>26</v>
      </c>
    </row>
    <row r="236" spans="1:18" x14ac:dyDescent="0.3">
      <c r="A236" s="1" t="s">
        <v>1548</v>
      </c>
      <c r="B236" s="2" t="s">
        <v>1549</v>
      </c>
      <c r="C236" s="2" t="s">
        <v>1466</v>
      </c>
      <c r="D236" s="2" t="s">
        <v>1529</v>
      </c>
      <c r="E236" s="2" t="s">
        <v>1530</v>
      </c>
      <c r="F236" s="2" t="s">
        <v>1531</v>
      </c>
      <c r="G236" s="2" t="s">
        <v>1532</v>
      </c>
      <c r="H236" s="2" t="s">
        <v>1533</v>
      </c>
      <c r="I236" s="2">
        <v>19702</v>
      </c>
      <c r="J236" s="2" t="s">
        <v>8</v>
      </c>
      <c r="K236" s="2" t="s">
        <v>1550</v>
      </c>
      <c r="L236" s="2">
        <v>3029475288</v>
      </c>
      <c r="M236" s="2" t="s">
        <v>26</v>
      </c>
      <c r="N236" s="2" t="s">
        <v>26</v>
      </c>
      <c r="O236" s="2" t="s">
        <v>26</v>
      </c>
      <c r="P236" s="8" t="s">
        <v>11</v>
      </c>
      <c r="Q236" s="2" t="s">
        <v>26</v>
      </c>
      <c r="R236" s="2" t="s">
        <v>26</v>
      </c>
    </row>
    <row r="237" spans="1:18" x14ac:dyDescent="0.3">
      <c r="A237" s="1" t="s">
        <v>1551</v>
      </c>
      <c r="B237" s="2" t="s">
        <v>1552</v>
      </c>
      <c r="C237" s="2" t="s">
        <v>385</v>
      </c>
      <c r="D237" s="2" t="s">
        <v>1553</v>
      </c>
      <c r="E237" s="2" t="s">
        <v>1554</v>
      </c>
      <c r="F237" s="2"/>
      <c r="G237" s="2" t="s">
        <v>1555</v>
      </c>
      <c r="H237" s="2" t="s">
        <v>242</v>
      </c>
      <c r="I237" s="2">
        <v>84119</v>
      </c>
      <c r="J237" s="2" t="s">
        <v>8</v>
      </c>
      <c r="K237" s="2" t="s">
        <v>1556</v>
      </c>
      <c r="L237" s="2">
        <v>7062244196</v>
      </c>
      <c r="M237" s="8" t="s">
        <v>11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</row>
    <row r="238" spans="1:18" x14ac:dyDescent="0.3">
      <c r="A238" s="1" t="s">
        <v>1557</v>
      </c>
      <c r="B238" s="2" t="s">
        <v>1558</v>
      </c>
      <c r="C238" s="2" t="s">
        <v>253</v>
      </c>
      <c r="D238" s="2" t="s">
        <v>1559</v>
      </c>
      <c r="E238" s="2" t="s">
        <v>1560</v>
      </c>
      <c r="F238" s="2"/>
      <c r="G238" s="2" t="s">
        <v>1561</v>
      </c>
      <c r="H238" s="2" t="s">
        <v>74</v>
      </c>
      <c r="I238" s="2">
        <v>300044</v>
      </c>
      <c r="J238" s="2" t="s">
        <v>1562</v>
      </c>
      <c r="K238" s="2" t="s">
        <v>1563</v>
      </c>
      <c r="L238" s="2" t="s">
        <v>1564</v>
      </c>
      <c r="M238" s="2" t="s">
        <v>26</v>
      </c>
      <c r="N238" s="2" t="s">
        <v>26</v>
      </c>
      <c r="O238" s="2" t="s">
        <v>26</v>
      </c>
      <c r="P238" s="2" t="s">
        <v>26</v>
      </c>
      <c r="Q238" s="8" t="s">
        <v>11</v>
      </c>
      <c r="R238" s="2" t="s">
        <v>26</v>
      </c>
    </row>
    <row r="239" spans="1:18" x14ac:dyDescent="0.3">
      <c r="A239" s="1" t="s">
        <v>1565</v>
      </c>
      <c r="B239" s="2" t="s">
        <v>1566</v>
      </c>
      <c r="C239" s="2" t="s">
        <v>244</v>
      </c>
      <c r="D239" s="2" t="s">
        <v>372</v>
      </c>
      <c r="E239" s="2" t="s">
        <v>373</v>
      </c>
      <c r="F239" s="2"/>
      <c r="G239" s="2" t="s">
        <v>374</v>
      </c>
      <c r="H239" s="2" t="s">
        <v>17</v>
      </c>
      <c r="I239" s="2">
        <v>92831</v>
      </c>
      <c r="J239" s="2" t="s">
        <v>8</v>
      </c>
      <c r="K239" s="2" t="s">
        <v>1567</v>
      </c>
      <c r="L239" s="2">
        <v>6572784256</v>
      </c>
      <c r="M239" s="8" t="s">
        <v>11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</row>
    <row r="240" spans="1:18" x14ac:dyDescent="0.3">
      <c r="A240" s="1" t="s">
        <v>1568</v>
      </c>
      <c r="B240" s="2" t="s">
        <v>1569</v>
      </c>
      <c r="C240" s="2" t="s">
        <v>253</v>
      </c>
      <c r="D240" s="2" t="s">
        <v>1250</v>
      </c>
      <c r="E240" s="2" t="s">
        <v>1570</v>
      </c>
      <c r="F240" s="2"/>
      <c r="G240" s="2" t="s">
        <v>1252</v>
      </c>
      <c r="H240" s="2" t="s">
        <v>65</v>
      </c>
      <c r="I240" s="2">
        <v>33647</v>
      </c>
      <c r="J240" s="2" t="s">
        <v>8</v>
      </c>
      <c r="K240" s="2" t="s">
        <v>1571</v>
      </c>
      <c r="L240" s="2">
        <v>3144840855</v>
      </c>
      <c r="M240" s="2" t="s">
        <v>26</v>
      </c>
      <c r="N240" s="2" t="s">
        <v>26</v>
      </c>
      <c r="O240" s="2" t="s">
        <v>26</v>
      </c>
      <c r="P240" s="2" t="s">
        <v>26</v>
      </c>
      <c r="Q240" s="8" t="s">
        <v>11</v>
      </c>
      <c r="R240" s="2" t="s">
        <v>26</v>
      </c>
    </row>
    <row r="241" spans="1:18" x14ac:dyDescent="0.3">
      <c r="A241" s="1" t="s">
        <v>1572</v>
      </c>
      <c r="B241" s="2" t="s">
        <v>687</v>
      </c>
      <c r="C241" s="2" t="s">
        <v>505</v>
      </c>
      <c r="D241" s="2" t="s">
        <v>1573</v>
      </c>
      <c r="E241" s="2" t="s">
        <v>507</v>
      </c>
      <c r="F241" s="2"/>
      <c r="G241" s="2" t="s">
        <v>508</v>
      </c>
      <c r="H241" s="2" t="s">
        <v>74</v>
      </c>
      <c r="I241" s="2">
        <v>200241</v>
      </c>
      <c r="J241" s="2" t="s">
        <v>509</v>
      </c>
      <c r="K241" s="2" t="s">
        <v>1574</v>
      </c>
      <c r="L241" s="2" t="s">
        <v>1575</v>
      </c>
      <c r="M241" s="2" t="s">
        <v>26</v>
      </c>
      <c r="N241" s="2" t="s">
        <v>26</v>
      </c>
      <c r="O241" s="2" t="s">
        <v>26</v>
      </c>
      <c r="P241" s="8" t="s">
        <v>11</v>
      </c>
      <c r="Q241" s="2" t="s">
        <v>26</v>
      </c>
      <c r="R241" s="2" t="s">
        <v>26</v>
      </c>
    </row>
    <row r="242" spans="1:18" x14ac:dyDescent="0.3">
      <c r="A242" s="1" t="s">
        <v>1576</v>
      </c>
      <c r="B242" s="2" t="s">
        <v>1577</v>
      </c>
      <c r="C242" s="2" t="s">
        <v>1578</v>
      </c>
      <c r="D242" s="2" t="s">
        <v>1579</v>
      </c>
      <c r="E242" s="2" t="s">
        <v>1580</v>
      </c>
      <c r="F242" s="2"/>
      <c r="G242" s="2" t="s">
        <v>1581</v>
      </c>
      <c r="H242" s="2" t="s">
        <v>74</v>
      </c>
      <c r="I242" s="2">
        <v>999077</v>
      </c>
      <c r="J242" s="2" t="s">
        <v>1400</v>
      </c>
      <c r="K242" s="2" t="s">
        <v>1582</v>
      </c>
      <c r="L242" s="2" t="s">
        <v>1583</v>
      </c>
      <c r="M242" s="2" t="s">
        <v>26</v>
      </c>
      <c r="N242" s="2" t="s">
        <v>26</v>
      </c>
      <c r="O242" s="2" t="s">
        <v>26</v>
      </c>
      <c r="P242" s="2" t="s">
        <v>26</v>
      </c>
      <c r="Q242" s="2" t="s">
        <v>26</v>
      </c>
      <c r="R242" s="2" t="s">
        <v>26</v>
      </c>
    </row>
    <row r="243" spans="1:18" x14ac:dyDescent="0.3">
      <c r="A243" s="1" t="s">
        <v>1584</v>
      </c>
      <c r="B243" s="2" t="s">
        <v>1585</v>
      </c>
      <c r="C243" s="2" t="s">
        <v>1586</v>
      </c>
      <c r="D243" s="2" t="s">
        <v>1587</v>
      </c>
      <c r="E243" s="2" t="s">
        <v>1588</v>
      </c>
      <c r="F243" s="2"/>
      <c r="G243" s="2" t="s">
        <v>1589</v>
      </c>
      <c r="H243" s="2" t="s">
        <v>74</v>
      </c>
      <c r="I243" s="2">
        <v>30128</v>
      </c>
      <c r="J243" s="2" t="s">
        <v>1346</v>
      </c>
      <c r="K243" s="2" t="s">
        <v>1590</v>
      </c>
      <c r="L243" s="2" t="s">
        <v>1591</v>
      </c>
      <c r="M243" s="2" t="s">
        <v>26</v>
      </c>
      <c r="N243" s="2" t="s">
        <v>26</v>
      </c>
      <c r="O243" s="2" t="s">
        <v>26</v>
      </c>
      <c r="P243" s="8" t="s">
        <v>11</v>
      </c>
      <c r="Q243" s="2" t="s">
        <v>26</v>
      </c>
      <c r="R243" s="2" t="s">
        <v>26</v>
      </c>
    </row>
    <row r="244" spans="1:18" x14ac:dyDescent="0.3">
      <c r="A244" s="1" t="s">
        <v>1592</v>
      </c>
      <c r="B244" s="2" t="s">
        <v>1593</v>
      </c>
      <c r="C244" s="2" t="s">
        <v>61</v>
      </c>
      <c r="D244" s="2" t="s">
        <v>1018</v>
      </c>
      <c r="E244" s="2" t="s">
        <v>1594</v>
      </c>
      <c r="F244" s="2"/>
      <c r="G244" s="2" t="s">
        <v>1595</v>
      </c>
      <c r="H244" s="2" t="s">
        <v>1022</v>
      </c>
      <c r="I244" s="2">
        <v>6824</v>
      </c>
      <c r="J244" s="2" t="s">
        <v>8</v>
      </c>
      <c r="K244" s="2" t="s">
        <v>1596</v>
      </c>
      <c r="L244" s="2" t="s">
        <v>1597</v>
      </c>
      <c r="M244" s="2" t="s">
        <v>26</v>
      </c>
      <c r="N244" s="8" t="s">
        <v>11</v>
      </c>
      <c r="O244" s="2" t="s">
        <v>26</v>
      </c>
      <c r="P244" s="2" t="s">
        <v>26</v>
      </c>
      <c r="Q244" s="2" t="s">
        <v>26</v>
      </c>
      <c r="R244" s="2" t="s">
        <v>26</v>
      </c>
    </row>
    <row r="245" spans="1:18" x14ac:dyDescent="0.3">
      <c r="A245" s="1" t="s">
        <v>1598</v>
      </c>
      <c r="B245" s="2" t="s">
        <v>1599</v>
      </c>
      <c r="C245" s="2" t="s">
        <v>1600</v>
      </c>
      <c r="D245" s="2" t="s">
        <v>1601</v>
      </c>
      <c r="E245" s="2" t="s">
        <v>1602</v>
      </c>
      <c r="F245" s="2" t="s">
        <v>1603</v>
      </c>
      <c r="G245" s="2" t="s">
        <v>623</v>
      </c>
      <c r="H245" s="2" t="s">
        <v>17</v>
      </c>
      <c r="I245" s="2">
        <v>94710</v>
      </c>
      <c r="J245" s="2" t="s">
        <v>8</v>
      </c>
      <c r="K245" s="2" t="s">
        <v>1604</v>
      </c>
      <c r="L245" s="2">
        <v>5304159711</v>
      </c>
      <c r="M245" s="2" t="s">
        <v>26</v>
      </c>
      <c r="N245" s="2" t="s">
        <v>26</v>
      </c>
      <c r="O245" s="2" t="s">
        <v>26</v>
      </c>
      <c r="P245" s="8" t="s">
        <v>11</v>
      </c>
      <c r="Q245" s="2" t="s">
        <v>26</v>
      </c>
      <c r="R245" s="2" t="s">
        <v>26</v>
      </c>
    </row>
    <row r="246" spans="1:18" x14ac:dyDescent="0.3">
      <c r="A246" s="1" t="s">
        <v>1605</v>
      </c>
      <c r="B246" s="2" t="s">
        <v>1606</v>
      </c>
      <c r="C246" s="2" t="s">
        <v>385</v>
      </c>
      <c r="D246" s="2" t="s">
        <v>1579</v>
      </c>
      <c r="E246" s="2" t="s">
        <v>1607</v>
      </c>
      <c r="F246" s="2"/>
      <c r="G246" s="2" t="s">
        <v>1400</v>
      </c>
      <c r="H246" s="2" t="s">
        <v>74</v>
      </c>
      <c r="I246" s="2">
        <v>999077</v>
      </c>
      <c r="J246" s="2" t="s">
        <v>1400</v>
      </c>
      <c r="K246" s="2" t="s">
        <v>1608</v>
      </c>
      <c r="L246" s="2" t="s">
        <v>1609</v>
      </c>
      <c r="M246" s="2" t="s">
        <v>26</v>
      </c>
      <c r="N246" s="2" t="s">
        <v>26</v>
      </c>
      <c r="O246" s="2" t="s">
        <v>26</v>
      </c>
      <c r="P246" s="2" t="s">
        <v>26</v>
      </c>
      <c r="Q246" s="2" t="s">
        <v>26</v>
      </c>
      <c r="R246" s="2" t="s">
        <v>26</v>
      </c>
    </row>
    <row r="247" spans="1:18" x14ac:dyDescent="0.3">
      <c r="A247" s="1" t="s">
        <v>1610</v>
      </c>
      <c r="B247" s="2" t="s">
        <v>1611</v>
      </c>
      <c r="C247" s="2" t="s">
        <v>29</v>
      </c>
      <c r="D247" s="2" t="s">
        <v>1612</v>
      </c>
      <c r="E247" s="2" t="s">
        <v>1613</v>
      </c>
      <c r="F247" s="2"/>
      <c r="G247" s="2" t="s">
        <v>1614</v>
      </c>
      <c r="H247" s="2" t="s">
        <v>74</v>
      </c>
      <c r="I247" s="2">
        <v>61005</v>
      </c>
      <c r="J247" s="2" t="s">
        <v>1346</v>
      </c>
      <c r="K247" s="2" t="s">
        <v>1615</v>
      </c>
      <c r="L247" s="2">
        <v>821092734773</v>
      </c>
      <c r="M247" s="2" t="s">
        <v>26</v>
      </c>
      <c r="N247" s="2" t="s">
        <v>26</v>
      </c>
      <c r="O247" s="8" t="s">
        <v>11</v>
      </c>
      <c r="P247" s="2" t="s">
        <v>26</v>
      </c>
      <c r="Q247" s="2" t="s">
        <v>26</v>
      </c>
      <c r="R247" s="2" t="s">
        <v>26</v>
      </c>
    </row>
    <row r="248" spans="1:18" x14ac:dyDescent="0.3">
      <c r="A248" s="1" t="s">
        <v>1616</v>
      </c>
      <c r="B248" s="2" t="s">
        <v>1549</v>
      </c>
      <c r="C248" s="2" t="s">
        <v>1617</v>
      </c>
      <c r="D248" s="2" t="s">
        <v>1618</v>
      </c>
      <c r="E248" s="2" t="s">
        <v>1619</v>
      </c>
      <c r="F248" s="2"/>
      <c r="G248" s="2" t="s">
        <v>1620</v>
      </c>
      <c r="H248" s="2" t="s">
        <v>74</v>
      </c>
      <c r="I248" s="2">
        <v>200120</v>
      </c>
      <c r="J248" s="2" t="s">
        <v>509</v>
      </c>
      <c r="K248" s="2" t="s">
        <v>1621</v>
      </c>
      <c r="L248" s="2" t="s">
        <v>1622</v>
      </c>
      <c r="M248" s="2" t="s">
        <v>26</v>
      </c>
      <c r="N248" s="2" t="s">
        <v>26</v>
      </c>
      <c r="O248" s="2" t="s">
        <v>26</v>
      </c>
      <c r="P248" s="2" t="s">
        <v>26</v>
      </c>
      <c r="Q248" s="8" t="s">
        <v>11</v>
      </c>
      <c r="R248" s="2" t="s">
        <v>26</v>
      </c>
    </row>
    <row r="249" spans="1:18" x14ac:dyDescent="0.3">
      <c r="A249" s="1" t="s">
        <v>1623</v>
      </c>
      <c r="B249" s="2" t="s">
        <v>1624</v>
      </c>
      <c r="C249" s="2" t="s">
        <v>253</v>
      </c>
      <c r="D249" s="2" t="s">
        <v>1625</v>
      </c>
      <c r="E249" s="2" t="s">
        <v>1626</v>
      </c>
      <c r="F249" s="2" t="s">
        <v>345</v>
      </c>
      <c r="G249" s="2" t="s">
        <v>1614</v>
      </c>
      <c r="H249" s="2" t="s">
        <v>74</v>
      </c>
      <c r="I249" s="2">
        <v>61005</v>
      </c>
      <c r="J249" s="2" t="s">
        <v>1346</v>
      </c>
      <c r="K249" s="2" t="s">
        <v>1627</v>
      </c>
      <c r="L249" s="2">
        <v>82627153628</v>
      </c>
      <c r="M249" s="2" t="s">
        <v>26</v>
      </c>
      <c r="N249" s="2" t="s">
        <v>26</v>
      </c>
      <c r="O249" s="2" t="s">
        <v>26</v>
      </c>
      <c r="P249" s="2" t="s">
        <v>26</v>
      </c>
      <c r="Q249" s="8" t="s">
        <v>11</v>
      </c>
      <c r="R249" s="2" t="s">
        <v>26</v>
      </c>
    </row>
    <row r="250" spans="1:18" x14ac:dyDescent="0.3">
      <c r="A250" s="1" t="s">
        <v>1628</v>
      </c>
      <c r="B250" s="2" t="s">
        <v>1629</v>
      </c>
      <c r="C250" s="2" t="s">
        <v>253</v>
      </c>
      <c r="D250" s="2" t="s">
        <v>1630</v>
      </c>
      <c r="E250" s="2" t="s">
        <v>1631</v>
      </c>
      <c r="F250" s="2" t="s">
        <v>1632</v>
      </c>
      <c r="G250" s="2" t="s">
        <v>1633</v>
      </c>
      <c r="H250" s="2" t="s">
        <v>74</v>
      </c>
      <c r="I250" s="2" t="s">
        <v>1634</v>
      </c>
      <c r="J250" s="2" t="s">
        <v>258</v>
      </c>
      <c r="K250" s="2" t="s">
        <v>1635</v>
      </c>
      <c r="L250" s="2">
        <v>441225386867</v>
      </c>
      <c r="M250" s="2" t="s">
        <v>26</v>
      </c>
      <c r="N250" s="2" t="s">
        <v>26</v>
      </c>
      <c r="O250" s="2" t="s">
        <v>26</v>
      </c>
      <c r="P250" s="2" t="s">
        <v>26</v>
      </c>
      <c r="Q250" s="8" t="s">
        <v>11</v>
      </c>
      <c r="R250" s="2" t="s">
        <v>26</v>
      </c>
    </row>
    <row r="251" spans="1:18" x14ac:dyDescent="0.3">
      <c r="A251" s="1" t="s">
        <v>1636</v>
      </c>
      <c r="B251" s="2" t="s">
        <v>1637</v>
      </c>
      <c r="C251" s="2" t="s">
        <v>29</v>
      </c>
      <c r="D251" s="2" t="s">
        <v>1638</v>
      </c>
      <c r="E251" s="2" t="s">
        <v>1639</v>
      </c>
      <c r="F251" s="2" t="s">
        <v>1640</v>
      </c>
      <c r="G251" s="2" t="s">
        <v>50</v>
      </c>
      <c r="H251" s="2" t="s">
        <v>51</v>
      </c>
      <c r="I251" s="2">
        <v>21702</v>
      </c>
      <c r="J251" s="2" t="s">
        <v>8</v>
      </c>
      <c r="K251" s="2" t="s">
        <v>1641</v>
      </c>
      <c r="L251" s="2" t="s">
        <v>1642</v>
      </c>
      <c r="M251" s="2" t="s">
        <v>26</v>
      </c>
      <c r="N251" s="2" t="s">
        <v>26</v>
      </c>
      <c r="O251" s="2" t="s">
        <v>26</v>
      </c>
      <c r="P251" s="2" t="s">
        <v>26</v>
      </c>
      <c r="Q251" s="8" t="s">
        <v>11</v>
      </c>
      <c r="R251" s="2" t="s">
        <v>26</v>
      </c>
    </row>
    <row r="252" spans="1:18" x14ac:dyDescent="0.3">
      <c r="A252" s="1" t="s">
        <v>673</v>
      </c>
      <c r="B252" s="2" t="s">
        <v>1643</v>
      </c>
      <c r="C252" s="2" t="s">
        <v>61</v>
      </c>
      <c r="D252" s="2" t="s">
        <v>1644</v>
      </c>
      <c r="E252" s="2" t="s">
        <v>1645</v>
      </c>
      <c r="F252" s="2"/>
      <c r="G252" s="2" t="s">
        <v>1646</v>
      </c>
      <c r="H252" s="2" t="s">
        <v>195</v>
      </c>
      <c r="I252" s="2">
        <v>11724</v>
      </c>
      <c r="J252" s="2" t="s">
        <v>8</v>
      </c>
      <c r="K252" s="2" t="s">
        <v>1647</v>
      </c>
      <c r="L252" s="2">
        <v>6174605958</v>
      </c>
      <c r="M252" s="2" t="s">
        <v>26</v>
      </c>
      <c r="N252" s="2" t="s">
        <v>26</v>
      </c>
      <c r="O252" s="2" t="s">
        <v>26</v>
      </c>
      <c r="P252" s="2" t="s">
        <v>26</v>
      </c>
      <c r="Q252" s="8" t="s">
        <v>11</v>
      </c>
      <c r="R252" s="2" t="s">
        <v>26</v>
      </c>
    </row>
    <row r="253" spans="1:18" x14ac:dyDescent="0.3">
      <c r="A253" s="1" t="s">
        <v>791</v>
      </c>
      <c r="B253" s="2" t="s">
        <v>1648</v>
      </c>
      <c r="C253" s="2" t="s">
        <v>1649</v>
      </c>
      <c r="D253" s="2" t="s">
        <v>1650</v>
      </c>
      <c r="E253" s="2" t="s">
        <v>1651</v>
      </c>
      <c r="F253" s="2" t="s">
        <v>1652</v>
      </c>
      <c r="G253" s="2" t="s">
        <v>1653</v>
      </c>
      <c r="H253" s="2" t="s">
        <v>195</v>
      </c>
      <c r="I253" s="2">
        <v>14202</v>
      </c>
      <c r="J253" s="2" t="s">
        <v>8</v>
      </c>
      <c r="K253" s="2" t="s">
        <v>1654</v>
      </c>
      <c r="L253" s="2">
        <v>7168481432</v>
      </c>
      <c r="M253" s="2" t="s">
        <v>26</v>
      </c>
      <c r="N253" s="2" t="s">
        <v>26</v>
      </c>
      <c r="O253" s="2" t="s">
        <v>26</v>
      </c>
      <c r="P253" s="8" t="s">
        <v>11</v>
      </c>
      <c r="Q253" s="2" t="s">
        <v>26</v>
      </c>
      <c r="R253" s="2" t="s">
        <v>26</v>
      </c>
    </row>
    <row r="254" spans="1:18" x14ac:dyDescent="0.3">
      <c r="A254" s="1" t="s">
        <v>791</v>
      </c>
      <c r="B254" s="2" t="s">
        <v>1655</v>
      </c>
      <c r="C254" s="2" t="s">
        <v>1656</v>
      </c>
      <c r="D254" s="2" t="s">
        <v>1657</v>
      </c>
      <c r="E254" s="2" t="s">
        <v>1658</v>
      </c>
      <c r="F254" s="2"/>
      <c r="G254" s="2" t="s">
        <v>502</v>
      </c>
      <c r="H254" s="2" t="s">
        <v>143</v>
      </c>
      <c r="I254" s="2">
        <v>7065</v>
      </c>
      <c r="J254" s="2" t="s">
        <v>8</v>
      </c>
      <c r="K254" s="2" t="s">
        <v>1659</v>
      </c>
      <c r="L254" s="2">
        <v>8579309029</v>
      </c>
      <c r="M254" s="2" t="s">
        <v>26</v>
      </c>
      <c r="N254" s="2" t="s">
        <v>26</v>
      </c>
      <c r="O254" s="2" t="s">
        <v>26</v>
      </c>
      <c r="P254" s="8" t="s">
        <v>11</v>
      </c>
      <c r="Q254" s="2" t="s">
        <v>26</v>
      </c>
      <c r="R254" s="2" t="s">
        <v>26</v>
      </c>
    </row>
    <row r="255" spans="1:18" x14ac:dyDescent="0.3">
      <c r="A255" s="1" t="s">
        <v>791</v>
      </c>
      <c r="B255" s="2" t="s">
        <v>1508</v>
      </c>
      <c r="C255" s="2" t="s">
        <v>1660</v>
      </c>
      <c r="D255" s="2" t="s">
        <v>1661</v>
      </c>
      <c r="E255" s="2" t="s">
        <v>1662</v>
      </c>
      <c r="F255" s="2"/>
      <c r="G255" s="2" t="s">
        <v>310</v>
      </c>
      <c r="H255" s="2" t="s">
        <v>34</v>
      </c>
      <c r="I255" s="2">
        <v>46241</v>
      </c>
      <c r="J255" s="2" t="s">
        <v>8</v>
      </c>
      <c r="K255" s="2" t="s">
        <v>1663</v>
      </c>
      <c r="L255" s="2">
        <v>3107671175</v>
      </c>
      <c r="M255" s="2" t="s">
        <v>26</v>
      </c>
      <c r="N255" s="2" t="s">
        <v>26</v>
      </c>
      <c r="O255" s="2" t="s">
        <v>26</v>
      </c>
      <c r="P255" s="8" t="s">
        <v>11</v>
      </c>
      <c r="Q255" s="2" t="s">
        <v>26</v>
      </c>
      <c r="R255" s="2" t="s">
        <v>26</v>
      </c>
    </row>
    <row r="256" spans="1:18" x14ac:dyDescent="0.3">
      <c r="A256" s="1" t="s">
        <v>791</v>
      </c>
      <c r="B256" s="2" t="s">
        <v>1664</v>
      </c>
      <c r="C256" s="2" t="s">
        <v>1665</v>
      </c>
      <c r="D256" s="2" t="s">
        <v>1666</v>
      </c>
      <c r="E256" s="2" t="s">
        <v>1667</v>
      </c>
      <c r="F256" s="2"/>
      <c r="G256" s="2" t="s">
        <v>1668</v>
      </c>
      <c r="H256" s="2" t="s">
        <v>1486</v>
      </c>
      <c r="I256" s="2">
        <v>80304</v>
      </c>
      <c r="J256" s="2" t="s">
        <v>8</v>
      </c>
      <c r="K256" s="2" t="s">
        <v>1669</v>
      </c>
      <c r="L256" s="2">
        <v>3177751441</v>
      </c>
      <c r="M256" s="2" t="s">
        <v>26</v>
      </c>
      <c r="N256" s="2" t="s">
        <v>26</v>
      </c>
      <c r="O256" s="2" t="s">
        <v>26</v>
      </c>
      <c r="P256" s="2" t="s">
        <v>26</v>
      </c>
      <c r="Q256" s="8" t="s">
        <v>11</v>
      </c>
      <c r="R256" s="2" t="s">
        <v>26</v>
      </c>
    </row>
    <row r="257" spans="1:18" x14ac:dyDescent="0.3">
      <c r="A257" s="1" t="s">
        <v>791</v>
      </c>
      <c r="B257" s="2" t="s">
        <v>1670</v>
      </c>
      <c r="C257" s="2" t="s">
        <v>1671</v>
      </c>
      <c r="D257" s="2" t="s">
        <v>1672</v>
      </c>
      <c r="E257" s="2" t="s">
        <v>1673</v>
      </c>
      <c r="F257" s="2"/>
      <c r="G257" s="2" t="s">
        <v>1120</v>
      </c>
      <c r="H257" s="2" t="s">
        <v>74</v>
      </c>
      <c r="I257" s="2">
        <v>518057</v>
      </c>
      <c r="J257" s="2" t="s">
        <v>509</v>
      </c>
      <c r="K257" s="2" t="s">
        <v>1674</v>
      </c>
      <c r="L257" s="2">
        <v>3104803190</v>
      </c>
      <c r="M257" s="2" t="s">
        <v>26</v>
      </c>
      <c r="N257" s="2" t="s">
        <v>26</v>
      </c>
      <c r="O257" s="2" t="s">
        <v>26</v>
      </c>
      <c r="P257" s="8" t="s">
        <v>11</v>
      </c>
      <c r="Q257" s="2" t="s">
        <v>26</v>
      </c>
      <c r="R257" s="2" t="s">
        <v>26</v>
      </c>
    </row>
    <row r="258" spans="1:18" x14ac:dyDescent="0.3">
      <c r="A258" s="1" t="s">
        <v>1675</v>
      </c>
      <c r="B258" s="2" t="s">
        <v>1676</v>
      </c>
      <c r="C258" s="2" t="s">
        <v>1677</v>
      </c>
      <c r="D258" s="2" t="s">
        <v>832</v>
      </c>
      <c r="E258" s="2" t="s">
        <v>833</v>
      </c>
      <c r="F258" s="2"/>
      <c r="G258" s="2" t="s">
        <v>834</v>
      </c>
      <c r="H258" s="2" t="s">
        <v>403</v>
      </c>
      <c r="I258" s="2">
        <v>28104</v>
      </c>
      <c r="J258" s="2" t="s">
        <v>8</v>
      </c>
      <c r="K258" s="2" t="s">
        <v>1678</v>
      </c>
      <c r="L258" s="2" t="s">
        <v>836</v>
      </c>
      <c r="M258" s="2" t="s">
        <v>26</v>
      </c>
      <c r="N258" s="2" t="s">
        <v>26</v>
      </c>
      <c r="O258" s="2" t="s">
        <v>26</v>
      </c>
      <c r="P258" s="8" t="s">
        <v>11</v>
      </c>
      <c r="Q258" s="2" t="s">
        <v>26</v>
      </c>
      <c r="R258" s="2" t="s">
        <v>26</v>
      </c>
    </row>
    <row r="259" spans="1:18" x14ac:dyDescent="0.3">
      <c r="A259" s="1" t="s">
        <v>1679</v>
      </c>
      <c r="B259" s="2" t="s">
        <v>1680</v>
      </c>
      <c r="C259" s="2" t="s">
        <v>1681</v>
      </c>
      <c r="D259" s="2" t="s">
        <v>1682</v>
      </c>
      <c r="E259" s="2" t="s">
        <v>1683</v>
      </c>
      <c r="F259" s="2"/>
      <c r="G259" s="2" t="s">
        <v>1684</v>
      </c>
      <c r="H259" s="2" t="s">
        <v>489</v>
      </c>
      <c r="I259" s="2">
        <v>19147</v>
      </c>
      <c r="J259" s="2" t="s">
        <v>8</v>
      </c>
      <c r="K259" s="2" t="s">
        <v>1685</v>
      </c>
      <c r="L259" s="2">
        <v>2158508748</v>
      </c>
      <c r="M259" s="2" t="s">
        <v>26</v>
      </c>
      <c r="N259" s="2" t="s">
        <v>26</v>
      </c>
      <c r="O259" s="2" t="s">
        <v>26</v>
      </c>
      <c r="P259" s="8" t="s">
        <v>11</v>
      </c>
      <c r="Q259" s="2" t="s">
        <v>26</v>
      </c>
      <c r="R259" s="2" t="s">
        <v>26</v>
      </c>
    </row>
    <row r="260" spans="1:18" x14ac:dyDescent="0.3">
      <c r="A260" s="1" t="s">
        <v>1679</v>
      </c>
      <c r="B260" s="2" t="s">
        <v>1686</v>
      </c>
      <c r="C260" s="2" t="s">
        <v>1687</v>
      </c>
      <c r="D260" s="2" t="s">
        <v>1688</v>
      </c>
      <c r="E260" s="2" t="s">
        <v>1689</v>
      </c>
      <c r="F260" s="2"/>
      <c r="G260" s="2" t="s">
        <v>445</v>
      </c>
      <c r="H260" s="2" t="s">
        <v>74</v>
      </c>
      <c r="I260" s="2">
        <v>10249</v>
      </c>
      <c r="J260" s="2" t="s">
        <v>235</v>
      </c>
      <c r="K260" s="2" t="s">
        <v>1690</v>
      </c>
      <c r="L260" s="2">
        <v>491729449405</v>
      </c>
      <c r="M260" s="8" t="s">
        <v>11</v>
      </c>
      <c r="N260" s="2" t="s">
        <v>26</v>
      </c>
      <c r="O260" s="2" t="s">
        <v>26</v>
      </c>
      <c r="P260" s="2" t="s">
        <v>26</v>
      </c>
      <c r="Q260" s="2" t="s">
        <v>26</v>
      </c>
      <c r="R260" s="2" t="s">
        <v>26</v>
      </c>
    </row>
    <row r="261" spans="1:18" x14ac:dyDescent="0.3">
      <c r="A261" s="1" t="s">
        <v>1691</v>
      </c>
      <c r="B261" s="2" t="s">
        <v>1692</v>
      </c>
      <c r="C261" s="2" t="s">
        <v>1693</v>
      </c>
      <c r="D261" s="2" t="s">
        <v>1694</v>
      </c>
      <c r="E261" s="2" t="s">
        <v>1695</v>
      </c>
      <c r="F261" s="2" t="s">
        <v>1696</v>
      </c>
      <c r="G261" s="2" t="s">
        <v>1697</v>
      </c>
      <c r="H261" s="2" t="s">
        <v>17</v>
      </c>
      <c r="I261" s="2">
        <v>92078</v>
      </c>
      <c r="J261" s="2" t="s">
        <v>8</v>
      </c>
      <c r="K261" s="2" t="s">
        <v>1698</v>
      </c>
      <c r="L261" s="2">
        <v>5103348818</v>
      </c>
      <c r="M261" s="2" t="s">
        <v>26</v>
      </c>
      <c r="N261" s="8" t="s">
        <v>11</v>
      </c>
      <c r="O261" s="2" t="s">
        <v>26</v>
      </c>
      <c r="P261" s="2" t="s">
        <v>26</v>
      </c>
      <c r="Q261" s="2" t="s">
        <v>26</v>
      </c>
      <c r="R261" s="2" t="s">
        <v>26</v>
      </c>
    </row>
    <row r="262" spans="1:18" x14ac:dyDescent="0.3">
      <c r="A262" s="1" t="s">
        <v>1699</v>
      </c>
      <c r="B262" s="2" t="s">
        <v>1700</v>
      </c>
      <c r="C262" s="2" t="s">
        <v>1665</v>
      </c>
      <c r="D262" s="2" t="s">
        <v>307</v>
      </c>
      <c r="E262" s="2" t="s">
        <v>1701</v>
      </c>
      <c r="F262" s="2"/>
      <c r="G262" s="2" t="s">
        <v>310</v>
      </c>
      <c r="H262" s="2" t="s">
        <v>34</v>
      </c>
      <c r="I262" s="2">
        <v>46208</v>
      </c>
      <c r="J262" s="2" t="s">
        <v>8</v>
      </c>
      <c r="K262" s="2" t="s">
        <v>1702</v>
      </c>
      <c r="L262" s="2">
        <v>13174950096</v>
      </c>
      <c r="M262" s="2" t="s">
        <v>26</v>
      </c>
      <c r="N262" s="2" t="s">
        <v>26</v>
      </c>
      <c r="O262" s="2" t="s">
        <v>26</v>
      </c>
      <c r="P262" s="8" t="s">
        <v>11</v>
      </c>
      <c r="Q262" s="2" t="s">
        <v>26</v>
      </c>
      <c r="R262" s="2" t="s">
        <v>26</v>
      </c>
    </row>
    <row r="263" spans="1:18" x14ac:dyDescent="0.3">
      <c r="A263" s="1" t="s">
        <v>1699</v>
      </c>
      <c r="B263" s="2" t="s">
        <v>1703</v>
      </c>
      <c r="C263" s="2" t="s">
        <v>1704</v>
      </c>
      <c r="D263" s="2" t="s">
        <v>1705</v>
      </c>
      <c r="E263" s="2" t="s">
        <v>1706</v>
      </c>
      <c r="F263" s="2" t="s">
        <v>1707</v>
      </c>
      <c r="G263" s="2" t="s">
        <v>1684</v>
      </c>
      <c r="H263" s="2" t="s">
        <v>489</v>
      </c>
      <c r="I263" s="2">
        <v>19139</v>
      </c>
      <c r="J263" s="2" t="s">
        <v>8</v>
      </c>
      <c r="K263" s="2" t="s">
        <v>1708</v>
      </c>
      <c r="L263" s="2">
        <v>2679349487</v>
      </c>
      <c r="M263" s="2" t="s">
        <v>26</v>
      </c>
      <c r="N263" s="2" t="s">
        <v>26</v>
      </c>
      <c r="O263" s="8" t="s">
        <v>11</v>
      </c>
      <c r="P263" s="2" t="s">
        <v>26</v>
      </c>
      <c r="Q263" s="2" t="s">
        <v>26</v>
      </c>
      <c r="R263" s="2" t="s">
        <v>26</v>
      </c>
    </row>
    <row r="264" spans="1:18" x14ac:dyDescent="0.3">
      <c r="A264" s="1" t="s">
        <v>1709</v>
      </c>
      <c r="B264" s="2" t="s">
        <v>1710</v>
      </c>
      <c r="C264" s="2" t="s">
        <v>244</v>
      </c>
      <c r="D264" s="2" t="s">
        <v>1711</v>
      </c>
      <c r="E264" s="2" t="s">
        <v>1712</v>
      </c>
      <c r="F264" s="2"/>
      <c r="G264" s="2" t="s">
        <v>1713</v>
      </c>
      <c r="H264" s="2" t="s">
        <v>1714</v>
      </c>
      <c r="I264" s="2">
        <v>29424</v>
      </c>
      <c r="J264" s="2" t="s">
        <v>8</v>
      </c>
      <c r="K264" s="2" t="s">
        <v>1715</v>
      </c>
      <c r="L264" s="2">
        <v>8439538099</v>
      </c>
      <c r="M264" s="2" t="s">
        <v>26</v>
      </c>
      <c r="N264" s="2" t="s">
        <v>26</v>
      </c>
      <c r="O264" s="2" t="s">
        <v>26</v>
      </c>
      <c r="P264" s="2" t="s">
        <v>26</v>
      </c>
      <c r="Q264" s="2" t="s">
        <v>26</v>
      </c>
      <c r="R264" s="8" t="s">
        <v>11</v>
      </c>
    </row>
    <row r="265" spans="1:18" x14ac:dyDescent="0.3">
      <c r="A265" s="1" t="s">
        <v>1716</v>
      </c>
      <c r="B265" s="2" t="s">
        <v>1717</v>
      </c>
      <c r="C265" s="2" t="s">
        <v>1718</v>
      </c>
      <c r="D265" s="2" t="s">
        <v>1719</v>
      </c>
      <c r="E265" s="2" t="s">
        <v>1720</v>
      </c>
      <c r="F265" s="2" t="s">
        <v>1721</v>
      </c>
      <c r="G265" s="2" t="s">
        <v>1722</v>
      </c>
      <c r="H265" s="2" t="s">
        <v>1723</v>
      </c>
      <c r="I265" s="2" t="s">
        <v>1724</v>
      </c>
      <c r="J265" s="2" t="s">
        <v>98</v>
      </c>
      <c r="K265" s="2" t="s">
        <v>1725</v>
      </c>
      <c r="L265" s="2">
        <v>16478556926</v>
      </c>
      <c r="M265" s="2" t="s">
        <v>26</v>
      </c>
      <c r="N265" s="2" t="s">
        <v>26</v>
      </c>
      <c r="O265" s="8" t="s">
        <v>11</v>
      </c>
      <c r="P265" s="2" t="s">
        <v>26</v>
      </c>
      <c r="Q265" s="2" t="s">
        <v>26</v>
      </c>
      <c r="R265" s="2" t="s">
        <v>26</v>
      </c>
    </row>
    <row r="266" spans="1:18" x14ac:dyDescent="0.3">
      <c r="A266" s="1" t="s">
        <v>1726</v>
      </c>
      <c r="B266" s="2" t="s">
        <v>1727</v>
      </c>
      <c r="C266" s="2" t="s">
        <v>1728</v>
      </c>
      <c r="D266" s="2" t="s">
        <v>832</v>
      </c>
      <c r="E266" s="2" t="s">
        <v>1729</v>
      </c>
      <c r="F266" s="2"/>
      <c r="G266" s="2" t="s">
        <v>834</v>
      </c>
      <c r="H266" s="2" t="s">
        <v>403</v>
      </c>
      <c r="I266" s="2" t="s">
        <v>1730</v>
      </c>
      <c r="J266" s="2" t="s">
        <v>8</v>
      </c>
      <c r="K266" s="2" t="s">
        <v>1731</v>
      </c>
      <c r="L266" s="2" t="s">
        <v>836</v>
      </c>
      <c r="M266" s="2" t="s">
        <v>26</v>
      </c>
      <c r="N266" s="2" t="s">
        <v>26</v>
      </c>
      <c r="O266" s="2" t="s">
        <v>26</v>
      </c>
      <c r="P266" s="8" t="s">
        <v>11</v>
      </c>
      <c r="Q266" s="2" t="s">
        <v>26</v>
      </c>
      <c r="R266" s="2" t="s">
        <v>26</v>
      </c>
    </row>
    <row r="267" spans="1:18" x14ac:dyDescent="0.3">
      <c r="A267" s="1" t="s">
        <v>1732</v>
      </c>
      <c r="B267" s="2" t="s">
        <v>1733</v>
      </c>
      <c r="C267" s="2" t="s">
        <v>253</v>
      </c>
      <c r="D267" s="2" t="s">
        <v>185</v>
      </c>
      <c r="E267" s="2" t="s">
        <v>1734</v>
      </c>
      <c r="F267" s="2"/>
      <c r="G267" s="2" t="s">
        <v>1329</v>
      </c>
      <c r="H267" s="2" t="s">
        <v>7</v>
      </c>
      <c r="I267" s="2">
        <v>2155</v>
      </c>
      <c r="J267" s="2" t="s">
        <v>8</v>
      </c>
      <c r="K267" s="2" t="s">
        <v>1735</v>
      </c>
      <c r="L267" s="2" t="s">
        <v>1736</v>
      </c>
      <c r="M267" s="2" t="s">
        <v>26</v>
      </c>
      <c r="N267" s="2" t="s">
        <v>26</v>
      </c>
      <c r="O267" s="2" t="s">
        <v>26</v>
      </c>
      <c r="P267" s="2" t="s">
        <v>26</v>
      </c>
      <c r="Q267" s="8" t="s">
        <v>11</v>
      </c>
      <c r="R267" s="2" t="s">
        <v>26</v>
      </c>
    </row>
    <row r="268" spans="1:18" x14ac:dyDescent="0.3">
      <c r="A268" s="1" t="s">
        <v>1732</v>
      </c>
      <c r="B268" s="2" t="s">
        <v>1737</v>
      </c>
      <c r="C268" s="2" t="s">
        <v>253</v>
      </c>
      <c r="D268" s="2" t="s">
        <v>1738</v>
      </c>
      <c r="E268" s="2" t="s">
        <v>1739</v>
      </c>
      <c r="F268" s="2" t="s">
        <v>1738</v>
      </c>
      <c r="G268" s="2" t="s">
        <v>1740</v>
      </c>
      <c r="H268" s="2" t="s">
        <v>242</v>
      </c>
      <c r="I268" s="2">
        <v>84602</v>
      </c>
      <c r="J268" s="2" t="s">
        <v>8</v>
      </c>
      <c r="K268" s="2" t="s">
        <v>1741</v>
      </c>
      <c r="L268" s="2">
        <v>8013589257</v>
      </c>
      <c r="M268" s="2" t="s">
        <v>26</v>
      </c>
      <c r="N268" s="2" t="s">
        <v>26</v>
      </c>
      <c r="O268" s="2" t="s">
        <v>26</v>
      </c>
      <c r="P268" s="2" t="s">
        <v>26</v>
      </c>
      <c r="Q268" s="2" t="s">
        <v>26</v>
      </c>
      <c r="R268" s="2" t="s">
        <v>26</v>
      </c>
    </row>
    <row r="269" spans="1:18" x14ac:dyDescent="0.3">
      <c r="A269" s="1" t="s">
        <v>1732</v>
      </c>
      <c r="B269" s="2" t="s">
        <v>1742</v>
      </c>
      <c r="C269" s="2" t="s">
        <v>1743</v>
      </c>
      <c r="D269" s="2" t="s">
        <v>1744</v>
      </c>
      <c r="E269" s="2" t="s">
        <v>1745</v>
      </c>
      <c r="F269" s="2" t="s">
        <v>1746</v>
      </c>
      <c r="G269" s="2" t="s">
        <v>1747</v>
      </c>
      <c r="H269" s="2" t="s">
        <v>17</v>
      </c>
      <c r="I269" s="2">
        <v>95060</v>
      </c>
      <c r="J269" s="2" t="s">
        <v>8</v>
      </c>
      <c r="K269" s="2" t="s">
        <v>1748</v>
      </c>
      <c r="L269" s="2" t="s">
        <v>1749</v>
      </c>
      <c r="M269" s="2" t="s">
        <v>26</v>
      </c>
      <c r="N269" s="2" t="s">
        <v>26</v>
      </c>
      <c r="O269" s="2" t="s">
        <v>26</v>
      </c>
      <c r="P269" s="8" t="s">
        <v>11</v>
      </c>
      <c r="Q269" s="2" t="s">
        <v>26</v>
      </c>
      <c r="R269" s="2" t="s">
        <v>26</v>
      </c>
    </row>
    <row r="270" spans="1:18" x14ac:dyDescent="0.3">
      <c r="A270" s="1" t="s">
        <v>1750</v>
      </c>
      <c r="B270" s="2" t="s">
        <v>1751</v>
      </c>
      <c r="C270" s="2" t="s">
        <v>544</v>
      </c>
      <c r="D270" s="2" t="s">
        <v>14</v>
      </c>
      <c r="E270" s="2" t="s">
        <v>1752</v>
      </c>
      <c r="F270" s="2"/>
      <c r="G270" s="2" t="s">
        <v>16</v>
      </c>
      <c r="H270" s="2" t="s">
        <v>17</v>
      </c>
      <c r="I270" s="2">
        <v>92130</v>
      </c>
      <c r="J270" s="2" t="s">
        <v>8</v>
      </c>
      <c r="K270" s="2" t="s">
        <v>1753</v>
      </c>
      <c r="L270" s="2" t="s">
        <v>1754</v>
      </c>
      <c r="M270" s="2" t="s">
        <v>26</v>
      </c>
      <c r="N270" s="2" t="s">
        <v>26</v>
      </c>
      <c r="O270" s="2" t="s">
        <v>26</v>
      </c>
      <c r="P270" s="8" t="s">
        <v>11</v>
      </c>
      <c r="Q270" s="2" t="s">
        <v>26</v>
      </c>
      <c r="R270" s="2" t="s">
        <v>26</v>
      </c>
    </row>
    <row r="271" spans="1:18" x14ac:dyDescent="0.3">
      <c r="A271" s="1" t="s">
        <v>1755</v>
      </c>
      <c r="B271" s="2" t="s">
        <v>1756</v>
      </c>
      <c r="C271" s="2" t="s">
        <v>1757</v>
      </c>
      <c r="D271" s="2" t="s">
        <v>131</v>
      </c>
      <c r="E271" s="2" t="s">
        <v>132</v>
      </c>
      <c r="F271" s="2"/>
      <c r="G271" s="2" t="s">
        <v>133</v>
      </c>
      <c r="H271" s="2" t="s">
        <v>134</v>
      </c>
      <c r="I271" s="2">
        <v>85714</v>
      </c>
      <c r="J271" s="2" t="s">
        <v>8</v>
      </c>
      <c r="K271" s="2" t="s">
        <v>1758</v>
      </c>
      <c r="L271" s="2" t="s">
        <v>136</v>
      </c>
      <c r="M271" s="2" t="s">
        <v>26</v>
      </c>
      <c r="N271" s="2" t="s">
        <v>26</v>
      </c>
      <c r="O271" s="2" t="s">
        <v>26</v>
      </c>
      <c r="P271" s="8" t="s">
        <v>11</v>
      </c>
      <c r="Q271" s="2" t="s">
        <v>26</v>
      </c>
      <c r="R271" s="2" t="s">
        <v>26</v>
      </c>
    </row>
    <row r="272" spans="1:18" x14ac:dyDescent="0.3">
      <c r="A272" s="1" t="s">
        <v>1755</v>
      </c>
      <c r="B272" s="2" t="s">
        <v>1759</v>
      </c>
      <c r="C272" s="2" t="s">
        <v>1760</v>
      </c>
      <c r="D272" s="2" t="s">
        <v>1389</v>
      </c>
      <c r="E272" s="2" t="s">
        <v>1761</v>
      </c>
      <c r="F272" s="2"/>
      <c r="G272" s="2" t="s">
        <v>424</v>
      </c>
      <c r="H272" s="2" t="s">
        <v>17</v>
      </c>
      <c r="I272" s="2">
        <v>92617</v>
      </c>
      <c r="J272" s="2" t="s">
        <v>8</v>
      </c>
      <c r="K272" s="2" t="s">
        <v>1762</v>
      </c>
      <c r="L272" s="2">
        <v>7149811513</v>
      </c>
      <c r="M272" s="8" t="s">
        <v>11</v>
      </c>
      <c r="N272" s="2" t="s">
        <v>26</v>
      </c>
      <c r="O272" s="2" t="s">
        <v>26</v>
      </c>
      <c r="P272" s="2" t="s">
        <v>26</v>
      </c>
      <c r="Q272" s="2" t="s">
        <v>26</v>
      </c>
      <c r="R272" s="2" t="s">
        <v>26</v>
      </c>
    </row>
    <row r="273" spans="1:18" x14ac:dyDescent="0.3">
      <c r="A273" s="1" t="s">
        <v>1755</v>
      </c>
      <c r="B273" s="2" t="s">
        <v>1763</v>
      </c>
      <c r="C273" s="2" t="s">
        <v>253</v>
      </c>
      <c r="D273" s="2" t="s">
        <v>30</v>
      </c>
      <c r="E273" s="2" t="s">
        <v>1764</v>
      </c>
      <c r="F273" s="2"/>
      <c r="G273" s="2" t="s">
        <v>1350</v>
      </c>
      <c r="H273" s="2" t="s">
        <v>34</v>
      </c>
      <c r="I273" s="2" t="s">
        <v>1765</v>
      </c>
      <c r="J273" s="2" t="s">
        <v>8</v>
      </c>
      <c r="K273" s="2" t="s">
        <v>1766</v>
      </c>
      <c r="L273" s="2">
        <v>5746319864</v>
      </c>
      <c r="M273" s="2" t="s">
        <v>26</v>
      </c>
      <c r="N273" s="2" t="s">
        <v>26</v>
      </c>
      <c r="O273" s="2" t="s">
        <v>26</v>
      </c>
      <c r="P273" s="2" t="s">
        <v>26</v>
      </c>
      <c r="Q273" s="8" t="s">
        <v>11</v>
      </c>
      <c r="R273" s="2" t="s">
        <v>26</v>
      </c>
    </row>
    <row r="274" spans="1:18" x14ac:dyDescent="0.3">
      <c r="A274" s="1" t="s">
        <v>1755</v>
      </c>
      <c r="B274" s="2" t="s">
        <v>1767</v>
      </c>
      <c r="C274" s="2" t="s">
        <v>280</v>
      </c>
      <c r="D274" s="2" t="s">
        <v>1768</v>
      </c>
      <c r="E274" s="2" t="s">
        <v>1769</v>
      </c>
      <c r="F274" s="2"/>
      <c r="G274" s="2" t="s">
        <v>16</v>
      </c>
      <c r="H274" s="2" t="s">
        <v>17</v>
      </c>
      <c r="I274" s="2">
        <v>92182</v>
      </c>
      <c r="J274" s="2" t="s">
        <v>8</v>
      </c>
      <c r="K274" s="2" t="s">
        <v>1770</v>
      </c>
      <c r="L274" s="2">
        <v>3347502471</v>
      </c>
      <c r="M274" s="2" t="s">
        <v>26</v>
      </c>
      <c r="N274" s="2" t="s">
        <v>26</v>
      </c>
      <c r="O274" s="2" t="s">
        <v>26</v>
      </c>
      <c r="P274" s="2" t="s">
        <v>26</v>
      </c>
      <c r="Q274" s="8" t="s">
        <v>11</v>
      </c>
      <c r="R274" s="2" t="s">
        <v>26</v>
      </c>
    </row>
    <row r="275" spans="1:18" x14ac:dyDescent="0.3">
      <c r="A275" s="1" t="s">
        <v>1771</v>
      </c>
      <c r="B275" s="2" t="s">
        <v>1772</v>
      </c>
      <c r="C275" s="2" t="s">
        <v>1466</v>
      </c>
      <c r="D275" s="2" t="s">
        <v>1773</v>
      </c>
      <c r="E275" s="2" t="s">
        <v>1774</v>
      </c>
      <c r="F275" s="2" t="s">
        <v>1775</v>
      </c>
      <c r="G275" s="2" t="s">
        <v>16</v>
      </c>
      <c r="H275" s="2" t="s">
        <v>17</v>
      </c>
      <c r="I275" s="2">
        <v>92121</v>
      </c>
      <c r="J275" s="2" t="s">
        <v>8</v>
      </c>
      <c r="K275" s="2" t="s">
        <v>1776</v>
      </c>
      <c r="L275" s="2">
        <v>6199223500</v>
      </c>
      <c r="M275" s="2" t="s">
        <v>26</v>
      </c>
      <c r="N275" s="8" t="s">
        <v>11</v>
      </c>
      <c r="O275" s="2" t="s">
        <v>26</v>
      </c>
      <c r="P275" s="2" t="s">
        <v>26</v>
      </c>
      <c r="Q275" s="2" t="s">
        <v>26</v>
      </c>
      <c r="R275" s="2" t="s">
        <v>26</v>
      </c>
    </row>
    <row r="276" spans="1:18" x14ac:dyDescent="0.3">
      <c r="A276" s="1" t="s">
        <v>1777</v>
      </c>
      <c r="B276" s="2" t="s">
        <v>1778</v>
      </c>
      <c r="C276" s="2" t="s">
        <v>37</v>
      </c>
      <c r="D276" s="2" t="s">
        <v>1779</v>
      </c>
      <c r="E276" s="2" t="s">
        <v>1780</v>
      </c>
      <c r="F276" s="2" t="s">
        <v>23</v>
      </c>
      <c r="G276" s="2" t="s">
        <v>124</v>
      </c>
      <c r="H276" s="2" t="s">
        <v>125</v>
      </c>
      <c r="I276" s="2">
        <v>60657</v>
      </c>
      <c r="J276" s="2" t="s">
        <v>8</v>
      </c>
      <c r="K276" s="2" t="s">
        <v>1781</v>
      </c>
      <c r="L276" s="2">
        <v>7188127346</v>
      </c>
      <c r="M276" s="2" t="s">
        <v>26</v>
      </c>
      <c r="N276" s="2" t="s">
        <v>26</v>
      </c>
      <c r="O276" s="8" t="s">
        <v>11</v>
      </c>
      <c r="P276" s="2" t="s">
        <v>26</v>
      </c>
      <c r="Q276" s="2" t="s">
        <v>26</v>
      </c>
      <c r="R276" s="2" t="s">
        <v>26</v>
      </c>
    </row>
    <row r="277" spans="1:18" x14ac:dyDescent="0.3">
      <c r="A277" s="1" t="s">
        <v>1782</v>
      </c>
      <c r="B277" s="2" t="s">
        <v>1783</v>
      </c>
      <c r="C277" s="2" t="s">
        <v>926</v>
      </c>
      <c r="D277" s="2" t="s">
        <v>114</v>
      </c>
      <c r="E277" s="2" t="s">
        <v>1784</v>
      </c>
      <c r="F277" s="2"/>
      <c r="G277" s="2" t="s">
        <v>16</v>
      </c>
      <c r="H277" s="2" t="s">
        <v>17</v>
      </c>
      <c r="I277" s="2">
        <v>92122</v>
      </c>
      <c r="J277" s="2" t="s">
        <v>8</v>
      </c>
      <c r="K277" s="2" t="s">
        <v>1785</v>
      </c>
      <c r="L277" s="2">
        <v>6192489749</v>
      </c>
      <c r="M277" s="2" t="s">
        <v>26</v>
      </c>
      <c r="N277" s="2" t="s">
        <v>26</v>
      </c>
      <c r="O277" s="8" t="s">
        <v>11</v>
      </c>
      <c r="P277" s="2" t="s">
        <v>26</v>
      </c>
      <c r="Q277" s="2" t="s">
        <v>26</v>
      </c>
      <c r="R277" s="2" t="s">
        <v>26</v>
      </c>
    </row>
    <row r="278" spans="1:18" x14ac:dyDescent="0.3">
      <c r="A278" s="1" t="s">
        <v>1786</v>
      </c>
      <c r="B278" s="2" t="s">
        <v>1508</v>
      </c>
      <c r="C278" s="2"/>
      <c r="D278" s="2" t="s">
        <v>500</v>
      </c>
      <c r="E278" s="2" t="s">
        <v>1787</v>
      </c>
      <c r="F278" s="2"/>
      <c r="G278" s="2" t="s">
        <v>1788</v>
      </c>
      <c r="H278" s="2" t="s">
        <v>143</v>
      </c>
      <c r="I278" s="2">
        <v>7065</v>
      </c>
      <c r="J278" s="2" t="s">
        <v>8</v>
      </c>
      <c r="K278" s="2" t="s">
        <v>1789</v>
      </c>
      <c r="L278" s="2" t="s">
        <v>1790</v>
      </c>
      <c r="M278" s="2" t="s">
        <v>26</v>
      </c>
      <c r="N278" s="2" t="s">
        <v>26</v>
      </c>
      <c r="O278" s="2" t="s">
        <v>26</v>
      </c>
      <c r="P278" s="8" t="s">
        <v>11</v>
      </c>
      <c r="Q278" s="2" t="s">
        <v>26</v>
      </c>
      <c r="R278" s="2" t="s">
        <v>26</v>
      </c>
    </row>
    <row r="279" spans="1:18" x14ac:dyDescent="0.3">
      <c r="A279" s="1" t="s">
        <v>1791</v>
      </c>
      <c r="B279" s="2" t="s">
        <v>1792</v>
      </c>
      <c r="C279" s="2" t="s">
        <v>280</v>
      </c>
      <c r="D279" s="2" t="s">
        <v>1793</v>
      </c>
      <c r="E279" s="2" t="s">
        <v>1794</v>
      </c>
      <c r="F279" s="2" t="s">
        <v>1795</v>
      </c>
      <c r="G279" s="2" t="s">
        <v>1796</v>
      </c>
      <c r="H279" s="2" t="s">
        <v>403</v>
      </c>
      <c r="I279" s="2">
        <v>27695</v>
      </c>
      <c r="J279" s="2" t="s">
        <v>8</v>
      </c>
      <c r="K279" s="2" t="s">
        <v>1797</v>
      </c>
      <c r="L279" s="2">
        <v>8329971751</v>
      </c>
      <c r="M279" s="2" t="s">
        <v>26</v>
      </c>
      <c r="N279" s="2" t="s">
        <v>26</v>
      </c>
      <c r="O279" s="2" t="s">
        <v>26</v>
      </c>
      <c r="P279" s="2" t="s">
        <v>26</v>
      </c>
      <c r="Q279" s="8" t="s">
        <v>11</v>
      </c>
      <c r="R279" s="2" t="s">
        <v>26</v>
      </c>
    </row>
    <row r="280" spans="1:18" x14ac:dyDescent="0.3">
      <c r="A280" s="1" t="s">
        <v>1798</v>
      </c>
      <c r="B280" s="2" t="s">
        <v>1799</v>
      </c>
      <c r="C280" s="2" t="s">
        <v>1800</v>
      </c>
      <c r="D280" s="2" t="s">
        <v>1801</v>
      </c>
      <c r="E280" s="2" t="s">
        <v>1802</v>
      </c>
      <c r="F280" s="2"/>
      <c r="G280" s="2" t="s">
        <v>1803</v>
      </c>
      <c r="H280" s="2" t="s">
        <v>74</v>
      </c>
      <c r="I280" s="2">
        <v>215151</v>
      </c>
      <c r="J280" s="2" t="s">
        <v>509</v>
      </c>
      <c r="K280" s="2" t="s">
        <v>1804</v>
      </c>
      <c r="L280" s="2">
        <v>13771819922</v>
      </c>
      <c r="M280" s="2" t="s">
        <v>26</v>
      </c>
      <c r="N280" s="2" t="s">
        <v>26</v>
      </c>
      <c r="O280" s="2" t="s">
        <v>26</v>
      </c>
      <c r="P280" s="8" t="s">
        <v>11</v>
      </c>
      <c r="Q280" s="2" t="s">
        <v>26</v>
      </c>
      <c r="R280" s="2" t="s">
        <v>26</v>
      </c>
    </row>
    <row r="281" spans="1:18" x14ac:dyDescent="0.3">
      <c r="A281" s="1" t="s">
        <v>1805</v>
      </c>
      <c r="B281" s="2" t="s">
        <v>1806</v>
      </c>
      <c r="C281" s="2" t="s">
        <v>762</v>
      </c>
      <c r="D281" s="2" t="s">
        <v>1807</v>
      </c>
      <c r="E281" s="2" t="s">
        <v>1808</v>
      </c>
      <c r="F281" s="2"/>
      <c r="G281" s="2" t="s">
        <v>1809</v>
      </c>
      <c r="H281" s="2" t="s">
        <v>74</v>
      </c>
      <c r="I281" s="2">
        <v>511436</v>
      </c>
      <c r="J281" s="2" t="s">
        <v>509</v>
      </c>
      <c r="K281" s="2" t="s">
        <v>1810</v>
      </c>
      <c r="L281" s="2">
        <v>15180172376</v>
      </c>
      <c r="M281" s="2" t="s">
        <v>26</v>
      </c>
      <c r="N281" s="2" t="s">
        <v>26</v>
      </c>
      <c r="O281" s="2" t="s">
        <v>26</v>
      </c>
      <c r="P281" s="2" t="s">
        <v>26</v>
      </c>
      <c r="Q281" s="2" t="s">
        <v>26</v>
      </c>
      <c r="R281" s="2" t="s">
        <v>26</v>
      </c>
    </row>
    <row r="282" spans="1:18" x14ac:dyDescent="0.3">
      <c r="A282" s="1" t="s">
        <v>1811</v>
      </c>
      <c r="B282" s="2" t="s">
        <v>1812</v>
      </c>
      <c r="C282" s="2" t="s">
        <v>61</v>
      </c>
      <c r="D282" s="2" t="s">
        <v>728</v>
      </c>
      <c r="E282" s="2" t="s">
        <v>1813</v>
      </c>
      <c r="F282" s="2" t="s">
        <v>1814</v>
      </c>
      <c r="G282" s="2" t="s">
        <v>1815</v>
      </c>
      <c r="H282" s="2" t="s">
        <v>250</v>
      </c>
      <c r="I282" s="2">
        <v>75080</v>
      </c>
      <c r="J282" s="2" t="s">
        <v>8</v>
      </c>
      <c r="K282" s="2" t="s">
        <v>1816</v>
      </c>
      <c r="L282" s="2" t="s">
        <v>1817</v>
      </c>
      <c r="M282" s="2" t="s">
        <v>26</v>
      </c>
      <c r="N282" s="2" t="s">
        <v>26</v>
      </c>
      <c r="O282" s="2" t="s">
        <v>26</v>
      </c>
      <c r="P282" s="2" t="s">
        <v>26</v>
      </c>
      <c r="Q282" s="8" t="s">
        <v>11</v>
      </c>
      <c r="R282" s="2" t="s">
        <v>26</v>
      </c>
    </row>
    <row r="283" spans="1:18" x14ac:dyDescent="0.3">
      <c r="A283" s="1" t="s">
        <v>1818</v>
      </c>
      <c r="B283" s="2" t="s">
        <v>1819</v>
      </c>
      <c r="C283" s="2" t="s">
        <v>442</v>
      </c>
      <c r="D283" s="2" t="s">
        <v>1820</v>
      </c>
      <c r="E283" s="2" t="s">
        <v>1125</v>
      </c>
      <c r="F283" s="2"/>
      <c r="G283" s="2" t="s">
        <v>1126</v>
      </c>
      <c r="H283" s="2" t="s">
        <v>74</v>
      </c>
      <c r="I283" s="2">
        <v>91058</v>
      </c>
      <c r="J283" s="2" t="s">
        <v>235</v>
      </c>
      <c r="K283" s="2" t="s">
        <v>1821</v>
      </c>
      <c r="L283" s="2">
        <f>49-9131-856-5466</f>
        <v>-15404</v>
      </c>
      <c r="M283" s="2" t="s">
        <v>26</v>
      </c>
      <c r="N283" s="2" t="s">
        <v>26</v>
      </c>
      <c r="O283" s="2" t="s">
        <v>26</v>
      </c>
      <c r="P283" s="2" t="s">
        <v>26</v>
      </c>
      <c r="Q283" s="8" t="s">
        <v>11</v>
      </c>
      <c r="R283" s="2" t="s">
        <v>26</v>
      </c>
    </row>
    <row r="284" spans="1:18" x14ac:dyDescent="0.3">
      <c r="A284" s="1" t="s">
        <v>1822</v>
      </c>
      <c r="B284" s="2" t="s">
        <v>1823</v>
      </c>
      <c r="C284" s="2" t="s">
        <v>238</v>
      </c>
      <c r="D284" s="2" t="s">
        <v>1824</v>
      </c>
      <c r="E284" s="2" t="s">
        <v>1825</v>
      </c>
      <c r="F284" s="2"/>
      <c r="G284" s="2" t="s">
        <v>1826</v>
      </c>
      <c r="H284" s="2" t="s">
        <v>983</v>
      </c>
      <c r="I284" s="2">
        <v>30044</v>
      </c>
      <c r="J284" s="2" t="s">
        <v>8</v>
      </c>
      <c r="K284" s="2" t="s">
        <v>1827</v>
      </c>
      <c r="L284" s="2">
        <v>4705514502</v>
      </c>
      <c r="M284" s="2" t="s">
        <v>26</v>
      </c>
      <c r="N284" s="8" t="s">
        <v>11</v>
      </c>
      <c r="O284" s="2" t="s">
        <v>26</v>
      </c>
      <c r="P284" s="2" t="s">
        <v>26</v>
      </c>
      <c r="Q284" s="2" t="s">
        <v>26</v>
      </c>
      <c r="R284" s="2" t="s">
        <v>26</v>
      </c>
    </row>
    <row r="285" spans="1:18" x14ac:dyDescent="0.3">
      <c r="A285" s="1" t="s">
        <v>1822</v>
      </c>
      <c r="B285" s="2" t="s">
        <v>1823</v>
      </c>
      <c r="C285" s="2" t="s">
        <v>238</v>
      </c>
      <c r="D285" s="2" t="s">
        <v>1824</v>
      </c>
      <c r="E285" s="2" t="s">
        <v>1825</v>
      </c>
      <c r="F285" s="2"/>
      <c r="G285" s="2" t="s">
        <v>1826</v>
      </c>
      <c r="H285" s="2" t="s">
        <v>983</v>
      </c>
      <c r="I285" s="2">
        <v>30044</v>
      </c>
      <c r="J285" s="2" t="s">
        <v>8</v>
      </c>
      <c r="K285" s="2" t="s">
        <v>1827</v>
      </c>
      <c r="L285" s="2">
        <v>4705514502</v>
      </c>
      <c r="M285" s="2" t="s">
        <v>26</v>
      </c>
      <c r="N285" s="8" t="s">
        <v>11</v>
      </c>
      <c r="O285" s="2" t="s">
        <v>26</v>
      </c>
      <c r="P285" s="2" t="s">
        <v>26</v>
      </c>
      <c r="Q285" s="2" t="s">
        <v>26</v>
      </c>
      <c r="R285" s="2" t="s">
        <v>26</v>
      </c>
    </row>
    <row r="286" spans="1:18" x14ac:dyDescent="0.3">
      <c r="A286" s="1" t="s">
        <v>1828</v>
      </c>
      <c r="B286" s="2" t="s">
        <v>1829</v>
      </c>
      <c r="C286" s="2" t="s">
        <v>29</v>
      </c>
      <c r="D286" s="2" t="s">
        <v>1830</v>
      </c>
      <c r="E286" s="2" t="s">
        <v>1831</v>
      </c>
      <c r="F286" s="2"/>
      <c r="G286" s="2" t="s">
        <v>1832</v>
      </c>
      <c r="H286" s="2" t="s">
        <v>74</v>
      </c>
      <c r="I286" s="2">
        <v>500046</v>
      </c>
      <c r="J286" s="2" t="s">
        <v>36</v>
      </c>
      <c r="K286" s="2" t="s">
        <v>1833</v>
      </c>
      <c r="L286" s="2">
        <f>91-40-20203092</f>
        <v>-20203041</v>
      </c>
      <c r="M286" s="2" t="s">
        <v>26</v>
      </c>
      <c r="N286" s="2" t="s">
        <v>26</v>
      </c>
      <c r="O286" s="2" t="s">
        <v>26</v>
      </c>
      <c r="P286" s="2" t="s">
        <v>26</v>
      </c>
      <c r="Q286" s="8" t="s">
        <v>11</v>
      </c>
      <c r="R286" s="2" t="s">
        <v>26</v>
      </c>
    </row>
    <row r="287" spans="1:18" x14ac:dyDescent="0.3">
      <c r="A287" s="1" t="s">
        <v>1834</v>
      </c>
      <c r="B287" s="2" t="s">
        <v>1835</v>
      </c>
      <c r="C287" s="2" t="s">
        <v>191</v>
      </c>
      <c r="D287" s="2" t="s">
        <v>290</v>
      </c>
      <c r="E287" s="2" t="s">
        <v>1836</v>
      </c>
      <c r="F287" s="2">
        <v>302</v>
      </c>
      <c r="G287" s="2" t="s">
        <v>292</v>
      </c>
      <c r="H287" s="2" t="s">
        <v>293</v>
      </c>
      <c r="I287" s="2" t="s">
        <v>1837</v>
      </c>
      <c r="J287" s="2" t="s">
        <v>98</v>
      </c>
      <c r="K287" s="2" t="s">
        <v>1838</v>
      </c>
      <c r="L287" s="2">
        <v>2502807097</v>
      </c>
      <c r="M287" s="8" t="s">
        <v>11</v>
      </c>
      <c r="N287" s="2" t="s">
        <v>26</v>
      </c>
      <c r="O287" s="2" t="s">
        <v>26</v>
      </c>
      <c r="P287" s="2" t="s">
        <v>26</v>
      </c>
      <c r="Q287" s="2" t="s">
        <v>26</v>
      </c>
      <c r="R287" s="2" t="s">
        <v>26</v>
      </c>
    </row>
    <row r="288" spans="1:18" x14ac:dyDescent="0.3">
      <c r="A288" s="1" t="s">
        <v>1839</v>
      </c>
      <c r="B288" s="2" t="s">
        <v>1840</v>
      </c>
      <c r="C288" s="2" t="s">
        <v>1841</v>
      </c>
      <c r="D288" s="2" t="s">
        <v>1842</v>
      </c>
      <c r="E288" s="2" t="s">
        <v>1843</v>
      </c>
      <c r="F288" s="2"/>
      <c r="G288" s="2" t="s">
        <v>1844</v>
      </c>
      <c r="H288" s="2" t="s">
        <v>655</v>
      </c>
      <c r="I288" s="2">
        <v>22901</v>
      </c>
      <c r="J288" s="2" t="s">
        <v>8</v>
      </c>
      <c r="K288" s="2" t="s">
        <v>1845</v>
      </c>
      <c r="L288" s="2">
        <v>9542005812</v>
      </c>
      <c r="M288" s="8" t="s">
        <v>11</v>
      </c>
      <c r="N288" s="2" t="s">
        <v>26</v>
      </c>
      <c r="O288" s="2" t="s">
        <v>26</v>
      </c>
      <c r="P288" s="2" t="s">
        <v>26</v>
      </c>
      <c r="Q288" s="2" t="s">
        <v>26</v>
      </c>
      <c r="R288" s="2" t="s">
        <v>26</v>
      </c>
    </row>
    <row r="289" spans="1:18" x14ac:dyDescent="0.3">
      <c r="A289" s="1" t="s">
        <v>1846</v>
      </c>
      <c r="B289" s="2" t="s">
        <v>1847</v>
      </c>
      <c r="C289" s="2" t="s">
        <v>280</v>
      </c>
      <c r="D289" s="2" t="s">
        <v>1848</v>
      </c>
      <c r="E289" s="2" t="s">
        <v>1849</v>
      </c>
      <c r="F289" s="2"/>
      <c r="G289" s="2" t="s">
        <v>1850</v>
      </c>
      <c r="H289" s="2" t="s">
        <v>403</v>
      </c>
      <c r="I289" s="2">
        <v>27101</v>
      </c>
      <c r="J289" s="2" t="s">
        <v>8</v>
      </c>
      <c r="K289" s="2" t="s">
        <v>1851</v>
      </c>
      <c r="L289" s="2">
        <v>3016618778</v>
      </c>
      <c r="M289" s="2" t="s">
        <v>26</v>
      </c>
      <c r="N289" s="2" t="s">
        <v>26</v>
      </c>
      <c r="O289" s="2" t="s">
        <v>26</v>
      </c>
      <c r="P289" s="2" t="s">
        <v>26</v>
      </c>
      <c r="Q289" s="8" t="s">
        <v>11</v>
      </c>
      <c r="R289" s="2" t="s">
        <v>26</v>
      </c>
    </row>
    <row r="290" spans="1:18" x14ac:dyDescent="0.3">
      <c r="A290" s="1" t="s">
        <v>1846</v>
      </c>
      <c r="B290" s="2" t="s">
        <v>1852</v>
      </c>
      <c r="C290" s="2" t="s">
        <v>407</v>
      </c>
      <c r="D290" s="2" t="s">
        <v>1853</v>
      </c>
      <c r="E290" s="2" t="s">
        <v>1854</v>
      </c>
      <c r="F290" s="2" t="s">
        <v>1855</v>
      </c>
      <c r="G290" s="2" t="s">
        <v>929</v>
      </c>
      <c r="H290" s="2" t="s">
        <v>195</v>
      </c>
      <c r="I290" s="2">
        <v>11218</v>
      </c>
      <c r="J290" s="2" t="s">
        <v>8</v>
      </c>
      <c r="K290" s="2" t="s">
        <v>1856</v>
      </c>
      <c r="L290" s="2">
        <v>7867904637</v>
      </c>
      <c r="M290" s="8" t="s">
        <v>11</v>
      </c>
      <c r="N290" s="2" t="s">
        <v>26</v>
      </c>
      <c r="O290" s="2" t="s">
        <v>26</v>
      </c>
      <c r="P290" s="2" t="s">
        <v>26</v>
      </c>
      <c r="Q290" s="2" t="s">
        <v>26</v>
      </c>
      <c r="R290" s="2" t="s">
        <v>26</v>
      </c>
    </row>
    <row r="291" spans="1:18" x14ac:dyDescent="0.3">
      <c r="A291" s="1" t="s">
        <v>1857</v>
      </c>
      <c r="B291" s="2" t="s">
        <v>1858</v>
      </c>
      <c r="C291" s="2" t="s">
        <v>471</v>
      </c>
      <c r="D291" s="2" t="s">
        <v>957</v>
      </c>
      <c r="E291" s="2" t="s">
        <v>1859</v>
      </c>
      <c r="F291" s="2"/>
      <c r="G291" s="2" t="s">
        <v>1860</v>
      </c>
      <c r="H291" s="2" t="s">
        <v>960</v>
      </c>
      <c r="I291" s="2">
        <v>3056</v>
      </c>
      <c r="J291" s="2" t="s">
        <v>476</v>
      </c>
      <c r="K291" s="2" t="s">
        <v>1861</v>
      </c>
      <c r="L291" s="2">
        <v>61448921096</v>
      </c>
      <c r="M291" s="8" t="s">
        <v>11</v>
      </c>
      <c r="N291" s="2" t="s">
        <v>26</v>
      </c>
      <c r="O291" s="2" t="s">
        <v>26</v>
      </c>
      <c r="P291" s="2" t="s">
        <v>26</v>
      </c>
      <c r="Q291" s="2" t="s">
        <v>26</v>
      </c>
      <c r="R291" s="2" t="s">
        <v>26</v>
      </c>
    </row>
    <row r="292" spans="1:18" x14ac:dyDescent="0.3">
      <c r="A292" s="1" t="s">
        <v>1862</v>
      </c>
      <c r="B292" s="2" t="s">
        <v>939</v>
      </c>
      <c r="C292" s="2" t="s">
        <v>1863</v>
      </c>
      <c r="D292" s="2" t="s">
        <v>1864</v>
      </c>
      <c r="E292" s="2" t="s">
        <v>1865</v>
      </c>
      <c r="F292" s="2"/>
      <c r="G292" s="2" t="s">
        <v>1866</v>
      </c>
      <c r="H292" s="2" t="s">
        <v>7</v>
      </c>
      <c r="I292" s="2">
        <v>2459</v>
      </c>
      <c r="J292" s="2" t="s">
        <v>8</v>
      </c>
      <c r="K292" s="2" t="s">
        <v>1867</v>
      </c>
      <c r="L292" s="2">
        <v>8052799975</v>
      </c>
      <c r="M292" s="2" t="s">
        <v>26</v>
      </c>
      <c r="N292" s="2" t="s">
        <v>26</v>
      </c>
      <c r="O292" s="2" t="s">
        <v>26</v>
      </c>
      <c r="P292" s="8" t="s">
        <v>11</v>
      </c>
      <c r="Q292" s="2" t="s">
        <v>26</v>
      </c>
      <c r="R292" s="2" t="s">
        <v>26</v>
      </c>
    </row>
    <row r="293" spans="1:18" x14ac:dyDescent="0.3">
      <c r="A293" s="1" t="s">
        <v>1868</v>
      </c>
      <c r="B293" s="2" t="s">
        <v>1508</v>
      </c>
      <c r="C293" s="2" t="s">
        <v>1869</v>
      </c>
      <c r="D293" s="2" t="s">
        <v>1870</v>
      </c>
      <c r="E293" s="2" t="s">
        <v>1871</v>
      </c>
      <c r="F293" s="2"/>
      <c r="G293" s="2" t="s">
        <v>1872</v>
      </c>
      <c r="H293" s="2" t="s">
        <v>7</v>
      </c>
      <c r="I293" s="2">
        <v>1440</v>
      </c>
      <c r="J293" s="2" t="s">
        <v>8</v>
      </c>
      <c r="K293" s="2" t="s">
        <v>1873</v>
      </c>
      <c r="L293" s="2">
        <v>15087675642</v>
      </c>
      <c r="M293" s="2" t="s">
        <v>26</v>
      </c>
      <c r="N293" s="2" t="s">
        <v>26</v>
      </c>
      <c r="O293" s="2" t="s">
        <v>26</v>
      </c>
      <c r="P293" s="8" t="s">
        <v>11</v>
      </c>
      <c r="Q293" s="2" t="s">
        <v>26</v>
      </c>
      <c r="R293" s="2" t="s">
        <v>26</v>
      </c>
    </row>
    <row r="294" spans="1:18" x14ac:dyDescent="0.3">
      <c r="A294" s="1" t="s">
        <v>1874</v>
      </c>
      <c r="B294" s="2" t="s">
        <v>1875</v>
      </c>
      <c r="C294" s="2" t="s">
        <v>102</v>
      </c>
      <c r="D294" s="2" t="s">
        <v>1876</v>
      </c>
      <c r="E294" s="2" t="s">
        <v>1877</v>
      </c>
      <c r="F294" s="2"/>
      <c r="G294" s="2" t="s">
        <v>1878</v>
      </c>
      <c r="H294" s="2" t="s">
        <v>74</v>
      </c>
      <c r="I294" s="2">
        <v>2540035</v>
      </c>
      <c r="J294" s="2" t="s">
        <v>417</v>
      </c>
      <c r="K294" s="2" t="s">
        <v>1879</v>
      </c>
      <c r="L294" s="2">
        <v>7038679005</v>
      </c>
      <c r="M294" s="2" t="s">
        <v>26</v>
      </c>
      <c r="N294" s="2" t="s">
        <v>26</v>
      </c>
      <c r="O294" s="2" t="s">
        <v>26</v>
      </c>
      <c r="P294" s="8" t="s">
        <v>11</v>
      </c>
      <c r="Q294" s="2" t="s">
        <v>26</v>
      </c>
      <c r="R294" s="2" t="s">
        <v>26</v>
      </c>
    </row>
    <row r="295" spans="1:18" x14ac:dyDescent="0.3">
      <c r="A295" s="1" t="s">
        <v>1880</v>
      </c>
      <c r="B295" s="2" t="s">
        <v>1881</v>
      </c>
      <c r="C295" s="2" t="s">
        <v>29</v>
      </c>
      <c r="D295" s="2" t="s">
        <v>290</v>
      </c>
      <c r="E295" s="2" t="s">
        <v>1882</v>
      </c>
      <c r="F295" s="2"/>
      <c r="G295" s="2" t="s">
        <v>292</v>
      </c>
      <c r="H295" s="2" t="s">
        <v>293</v>
      </c>
      <c r="I295" s="2" t="s">
        <v>1883</v>
      </c>
      <c r="J295" s="2" t="s">
        <v>98</v>
      </c>
      <c r="K295" s="2" t="s">
        <v>1884</v>
      </c>
      <c r="L295" s="2">
        <v>5879380731</v>
      </c>
      <c r="M295" s="2" t="s">
        <v>26</v>
      </c>
      <c r="N295" s="2" t="s">
        <v>26</v>
      </c>
      <c r="O295" s="8" t="s">
        <v>11</v>
      </c>
      <c r="P295" s="2" t="s">
        <v>26</v>
      </c>
      <c r="Q295" s="2" t="s">
        <v>26</v>
      </c>
      <c r="R295" s="2" t="s">
        <v>26</v>
      </c>
    </row>
    <row r="296" spans="1:18" x14ac:dyDescent="0.3">
      <c r="A296" s="1" t="s">
        <v>1885</v>
      </c>
      <c r="B296" s="2" t="s">
        <v>1886</v>
      </c>
      <c r="C296" s="2" t="s">
        <v>1656</v>
      </c>
      <c r="D296" s="2" t="s">
        <v>500</v>
      </c>
      <c r="E296" s="2" t="s">
        <v>688</v>
      </c>
      <c r="F296" s="2" t="s">
        <v>1887</v>
      </c>
      <c r="G296" s="2" t="s">
        <v>502</v>
      </c>
      <c r="H296" s="2" t="s">
        <v>143</v>
      </c>
      <c r="I296" s="2" t="s">
        <v>1888</v>
      </c>
      <c r="J296" s="2" t="s">
        <v>8</v>
      </c>
      <c r="K296" s="2" t="s">
        <v>1889</v>
      </c>
      <c r="L296" s="2">
        <v>6032035100</v>
      </c>
      <c r="M296" s="2" t="s">
        <v>26</v>
      </c>
      <c r="N296" s="2" t="s">
        <v>26</v>
      </c>
      <c r="O296" s="2" t="s">
        <v>26</v>
      </c>
      <c r="P296" s="8" t="s">
        <v>11</v>
      </c>
      <c r="Q296" s="2" t="s">
        <v>26</v>
      </c>
      <c r="R296" s="2" t="s">
        <v>26</v>
      </c>
    </row>
    <row r="297" spans="1:18" x14ac:dyDescent="0.3">
      <c r="A297" s="1" t="s">
        <v>1885</v>
      </c>
      <c r="B297" s="2" t="s">
        <v>1890</v>
      </c>
      <c r="C297" s="2" t="s">
        <v>907</v>
      </c>
      <c r="D297" s="2" t="s">
        <v>131</v>
      </c>
      <c r="E297" s="2" t="s">
        <v>132</v>
      </c>
      <c r="F297" s="2"/>
      <c r="G297" s="2" t="s">
        <v>133</v>
      </c>
      <c r="H297" s="2" t="s">
        <v>134</v>
      </c>
      <c r="I297" s="2">
        <v>85714</v>
      </c>
      <c r="J297" s="2" t="s">
        <v>8</v>
      </c>
      <c r="K297" s="2" t="s">
        <v>1891</v>
      </c>
      <c r="L297" s="2" t="s">
        <v>136</v>
      </c>
      <c r="M297" s="2" t="s">
        <v>26</v>
      </c>
      <c r="N297" s="2" t="s">
        <v>26</v>
      </c>
      <c r="O297" s="2" t="s">
        <v>26</v>
      </c>
      <c r="P297" s="8" t="s">
        <v>11</v>
      </c>
      <c r="Q297" s="2" t="s">
        <v>26</v>
      </c>
      <c r="R297" s="2" t="s">
        <v>26</v>
      </c>
    </row>
    <row r="298" spans="1:18" x14ac:dyDescent="0.3">
      <c r="A298" s="1" t="s">
        <v>1892</v>
      </c>
      <c r="B298" s="2" t="s">
        <v>1893</v>
      </c>
      <c r="C298" s="2" t="s">
        <v>1617</v>
      </c>
      <c r="D298" s="2" t="s">
        <v>1894</v>
      </c>
      <c r="E298" s="2" t="s">
        <v>1895</v>
      </c>
      <c r="F298" s="2"/>
      <c r="G298" s="2" t="s">
        <v>1896</v>
      </c>
      <c r="H298" s="2" t="s">
        <v>74</v>
      </c>
      <c r="I298" s="2">
        <v>6500047</v>
      </c>
      <c r="J298" s="2" t="s">
        <v>417</v>
      </c>
      <c r="K298" s="2" t="s">
        <v>1897</v>
      </c>
      <c r="L298" s="2">
        <f>81-78-303-1418</f>
        <v>-1718</v>
      </c>
      <c r="M298" s="2" t="s">
        <v>26</v>
      </c>
      <c r="N298" s="2" t="s">
        <v>26</v>
      </c>
      <c r="O298" s="2" t="s">
        <v>26</v>
      </c>
      <c r="P298" s="2" t="s">
        <v>26</v>
      </c>
      <c r="Q298" s="8" t="s">
        <v>11</v>
      </c>
      <c r="R298" s="2" t="s">
        <v>26</v>
      </c>
    </row>
    <row r="299" spans="1:18" x14ac:dyDescent="0.3">
      <c r="A299" s="1" t="s">
        <v>1898</v>
      </c>
      <c r="B299" s="2" t="s">
        <v>1899</v>
      </c>
      <c r="C299" s="2" t="s">
        <v>1900</v>
      </c>
      <c r="D299" s="2" t="s">
        <v>1901</v>
      </c>
      <c r="E299" s="2" t="s">
        <v>1902</v>
      </c>
      <c r="F299" s="2"/>
      <c r="G299" s="2" t="s">
        <v>1135</v>
      </c>
      <c r="H299" s="2" t="s">
        <v>7</v>
      </c>
      <c r="I299" s="2">
        <v>2421</v>
      </c>
      <c r="J299" s="2" t="s">
        <v>8</v>
      </c>
      <c r="K299" s="2" t="s">
        <v>1903</v>
      </c>
      <c r="L299" s="2">
        <v>6173883894</v>
      </c>
      <c r="M299" s="2" t="s">
        <v>26</v>
      </c>
      <c r="N299" s="8" t="s">
        <v>11</v>
      </c>
      <c r="O299" s="2" t="s">
        <v>26</v>
      </c>
      <c r="P299" s="2" t="s">
        <v>26</v>
      </c>
      <c r="Q299" s="2" t="s">
        <v>26</v>
      </c>
      <c r="R299" s="2" t="s">
        <v>26</v>
      </c>
    </row>
    <row r="300" spans="1:18" x14ac:dyDescent="0.3">
      <c r="A300" s="1" t="s">
        <v>1898</v>
      </c>
      <c r="B300" s="2" t="s">
        <v>1904</v>
      </c>
      <c r="C300" s="2" t="s">
        <v>1905</v>
      </c>
      <c r="D300" s="2" t="s">
        <v>1906</v>
      </c>
      <c r="E300" s="2" t="s">
        <v>1907</v>
      </c>
      <c r="F300" s="2"/>
      <c r="G300" s="2" t="s">
        <v>1233</v>
      </c>
      <c r="H300" s="2" t="s">
        <v>51</v>
      </c>
      <c r="I300" s="2">
        <v>21046</v>
      </c>
      <c r="J300" s="2" t="s">
        <v>8</v>
      </c>
      <c r="K300" s="2" t="s">
        <v>1908</v>
      </c>
      <c r="L300" s="2">
        <v>2408566376</v>
      </c>
      <c r="M300" s="2" t="s">
        <v>26</v>
      </c>
      <c r="N300" s="2" t="s">
        <v>26</v>
      </c>
      <c r="O300" s="2" t="s">
        <v>26</v>
      </c>
      <c r="P300" s="8" t="s">
        <v>11</v>
      </c>
      <c r="Q300" s="2" t="s">
        <v>26</v>
      </c>
      <c r="R300" s="2" t="s">
        <v>26</v>
      </c>
    </row>
    <row r="301" spans="1:18" x14ac:dyDescent="0.3">
      <c r="A301" s="1" t="s">
        <v>1909</v>
      </c>
      <c r="B301" s="2" t="s">
        <v>1910</v>
      </c>
      <c r="C301" s="2" t="s">
        <v>253</v>
      </c>
      <c r="D301" s="2" t="s">
        <v>1911</v>
      </c>
      <c r="E301" s="2" t="s">
        <v>1912</v>
      </c>
      <c r="F301" s="2"/>
      <c r="G301" s="2" t="s">
        <v>424</v>
      </c>
      <c r="H301" s="2" t="s">
        <v>17</v>
      </c>
      <c r="I301" s="2">
        <v>92618</v>
      </c>
      <c r="J301" s="2" t="s">
        <v>8</v>
      </c>
      <c r="K301" s="2" t="s">
        <v>1913</v>
      </c>
      <c r="L301" s="2">
        <v>7145165489</v>
      </c>
      <c r="M301" s="2" t="s">
        <v>26</v>
      </c>
      <c r="N301" s="2" t="s">
        <v>26</v>
      </c>
      <c r="O301" s="2" t="s">
        <v>26</v>
      </c>
      <c r="P301" s="2" t="s">
        <v>26</v>
      </c>
      <c r="Q301" s="8" t="s">
        <v>11</v>
      </c>
      <c r="R301" s="2" t="s">
        <v>26</v>
      </c>
    </row>
    <row r="302" spans="1:18" x14ac:dyDescent="0.3">
      <c r="A302" s="1" t="s">
        <v>1914</v>
      </c>
      <c r="B302" s="2" t="s">
        <v>1915</v>
      </c>
      <c r="C302" s="2" t="s">
        <v>329</v>
      </c>
      <c r="D302" s="2" t="s">
        <v>1916</v>
      </c>
      <c r="E302" s="2" t="s">
        <v>1917</v>
      </c>
      <c r="F302" s="2"/>
      <c r="G302" s="2" t="s">
        <v>1918</v>
      </c>
      <c r="H302" s="2" t="s">
        <v>17</v>
      </c>
      <c r="I302" s="2">
        <v>94402</v>
      </c>
      <c r="J302" s="2" t="s">
        <v>8</v>
      </c>
      <c r="K302" s="2" t="s">
        <v>1919</v>
      </c>
      <c r="L302" s="2">
        <v>8328703618</v>
      </c>
      <c r="M302" s="2" t="s">
        <v>26</v>
      </c>
      <c r="N302" s="2" t="s">
        <v>26</v>
      </c>
      <c r="O302" s="2" t="s">
        <v>26</v>
      </c>
      <c r="P302" s="8" t="s">
        <v>11</v>
      </c>
      <c r="Q302" s="2" t="s">
        <v>26</v>
      </c>
      <c r="R302" s="2" t="s">
        <v>26</v>
      </c>
    </row>
    <row r="303" spans="1:18" x14ac:dyDescent="0.3">
      <c r="A303" s="1" t="s">
        <v>1920</v>
      </c>
      <c r="B303" s="2" t="s">
        <v>1921</v>
      </c>
      <c r="C303" s="2" t="s">
        <v>342</v>
      </c>
      <c r="D303" s="2" t="s">
        <v>532</v>
      </c>
      <c r="E303" s="2" t="s">
        <v>1922</v>
      </c>
      <c r="F303" s="2" t="s">
        <v>1923</v>
      </c>
      <c r="G303" s="2" t="s">
        <v>6</v>
      </c>
      <c r="H303" s="2" t="s">
        <v>7</v>
      </c>
      <c r="I303" s="2">
        <v>2138</v>
      </c>
      <c r="J303" s="2" t="s">
        <v>8</v>
      </c>
      <c r="K303" s="2" t="s">
        <v>1924</v>
      </c>
      <c r="L303" s="2">
        <v>4257367673</v>
      </c>
      <c r="M303" s="2" t="s">
        <v>26</v>
      </c>
      <c r="N303" s="2" t="s">
        <v>26</v>
      </c>
      <c r="O303" s="8" t="s">
        <v>11</v>
      </c>
      <c r="P303" s="2" t="s">
        <v>26</v>
      </c>
      <c r="Q303" s="2" t="s">
        <v>26</v>
      </c>
      <c r="R303" s="2" t="s">
        <v>26</v>
      </c>
    </row>
    <row r="304" spans="1:18" x14ac:dyDescent="0.3">
      <c r="A304" s="1" t="s">
        <v>1925</v>
      </c>
      <c r="B304" s="2" t="s">
        <v>1926</v>
      </c>
      <c r="C304" s="2" t="s">
        <v>1927</v>
      </c>
      <c r="D304" s="2" t="s">
        <v>1928</v>
      </c>
      <c r="E304" s="2" t="s">
        <v>1929</v>
      </c>
      <c r="F304" s="2"/>
      <c r="G304" s="2" t="s">
        <v>1930</v>
      </c>
      <c r="H304" s="2" t="s">
        <v>17</v>
      </c>
      <c r="I304" s="2">
        <v>95817</v>
      </c>
      <c r="J304" s="2" t="s">
        <v>8</v>
      </c>
      <c r="K304" s="2" t="s">
        <v>1931</v>
      </c>
      <c r="L304" s="2" t="s">
        <v>1932</v>
      </c>
      <c r="M304" s="2" t="s">
        <v>26</v>
      </c>
      <c r="N304" s="2" t="s">
        <v>26</v>
      </c>
      <c r="O304" s="2" t="s">
        <v>26</v>
      </c>
      <c r="P304" s="2" t="s">
        <v>26</v>
      </c>
      <c r="Q304" s="8" t="s">
        <v>11</v>
      </c>
      <c r="R304" s="2" t="s">
        <v>26</v>
      </c>
    </row>
    <row r="305" spans="1:18" x14ac:dyDescent="0.3">
      <c r="A305" s="1" t="s">
        <v>1933</v>
      </c>
      <c r="B305" s="2" t="s">
        <v>1934</v>
      </c>
      <c r="C305" s="2" t="s">
        <v>238</v>
      </c>
      <c r="D305" s="2" t="s">
        <v>1935</v>
      </c>
      <c r="E305" s="2" t="s">
        <v>1936</v>
      </c>
      <c r="F305" s="2"/>
      <c r="G305" s="2" t="s">
        <v>1277</v>
      </c>
      <c r="H305" s="2" t="s">
        <v>74</v>
      </c>
      <c r="I305" s="2" t="s">
        <v>1937</v>
      </c>
      <c r="J305" s="2" t="s">
        <v>417</v>
      </c>
      <c r="K305" s="2" t="s">
        <v>1938</v>
      </c>
      <c r="L305" s="2" t="s">
        <v>1939</v>
      </c>
      <c r="M305" s="8" t="s">
        <v>11</v>
      </c>
      <c r="N305" s="2" t="s">
        <v>26</v>
      </c>
      <c r="O305" s="2" t="s">
        <v>26</v>
      </c>
      <c r="P305" s="2" t="s">
        <v>26</v>
      </c>
      <c r="Q305" s="2" t="s">
        <v>26</v>
      </c>
      <c r="R305" s="2" t="s">
        <v>26</v>
      </c>
    </row>
    <row r="306" spans="1:18" x14ac:dyDescent="0.3">
      <c r="A306" s="1" t="s">
        <v>1933</v>
      </c>
      <c r="B306" s="2" t="s">
        <v>1940</v>
      </c>
      <c r="C306" s="2" t="s">
        <v>385</v>
      </c>
      <c r="D306" s="2" t="s">
        <v>1941</v>
      </c>
      <c r="E306" s="2" t="s">
        <v>1942</v>
      </c>
      <c r="F306" s="2"/>
      <c r="G306" s="2" t="s">
        <v>1896</v>
      </c>
      <c r="H306" s="2" t="s">
        <v>74</v>
      </c>
      <c r="I306" s="2" t="s">
        <v>1943</v>
      </c>
      <c r="J306" s="2" t="s">
        <v>417</v>
      </c>
      <c r="K306" s="2" t="s">
        <v>1944</v>
      </c>
      <c r="L306" s="2">
        <v>8083252239</v>
      </c>
      <c r="M306" s="8" t="s">
        <v>11</v>
      </c>
      <c r="N306" s="2" t="s">
        <v>26</v>
      </c>
      <c r="O306" s="2" t="s">
        <v>26</v>
      </c>
      <c r="P306" s="2" t="s">
        <v>26</v>
      </c>
      <c r="Q306" s="2" t="s">
        <v>26</v>
      </c>
      <c r="R306" s="2" t="s">
        <v>26</v>
      </c>
    </row>
    <row r="307" spans="1:18" x14ac:dyDescent="0.3">
      <c r="A307" s="1" t="s">
        <v>1945</v>
      </c>
      <c r="B307" s="2" t="s">
        <v>1946</v>
      </c>
      <c r="C307" s="2" t="s">
        <v>1947</v>
      </c>
      <c r="D307" s="2" t="s">
        <v>1948</v>
      </c>
      <c r="E307" s="2" t="s">
        <v>1949</v>
      </c>
      <c r="F307" s="2" t="s">
        <v>1950</v>
      </c>
      <c r="G307" s="2" t="s">
        <v>1277</v>
      </c>
      <c r="H307" s="2" t="s">
        <v>74</v>
      </c>
      <c r="I307" s="2">
        <v>1070052</v>
      </c>
      <c r="J307" s="2" t="s">
        <v>417</v>
      </c>
      <c r="K307" s="2" t="s">
        <v>1951</v>
      </c>
      <c r="L307" s="2">
        <v>817021608410</v>
      </c>
      <c r="M307" s="2" t="s">
        <v>26</v>
      </c>
      <c r="N307" s="2" t="s">
        <v>26</v>
      </c>
      <c r="O307" s="2" t="s">
        <v>26</v>
      </c>
      <c r="P307" s="8" t="s">
        <v>11</v>
      </c>
      <c r="Q307" s="2" t="s">
        <v>26</v>
      </c>
      <c r="R307" s="2" t="s">
        <v>26</v>
      </c>
    </row>
    <row r="308" spans="1:18" x14ac:dyDescent="0.3">
      <c r="A308" s="1" t="s">
        <v>1952</v>
      </c>
      <c r="B308" s="2" t="s">
        <v>1953</v>
      </c>
      <c r="C308" s="2" t="s">
        <v>1954</v>
      </c>
      <c r="D308" s="2" t="s">
        <v>185</v>
      </c>
      <c r="E308" s="2" t="s">
        <v>345</v>
      </c>
      <c r="F308" s="2" t="s">
        <v>1955</v>
      </c>
      <c r="G308" s="2" t="s">
        <v>1329</v>
      </c>
      <c r="H308" s="2" t="s">
        <v>7</v>
      </c>
      <c r="I308" s="2" t="s">
        <v>1956</v>
      </c>
      <c r="J308" s="2" t="s">
        <v>8</v>
      </c>
      <c r="K308" s="2" t="s">
        <v>1957</v>
      </c>
      <c r="L308" s="2">
        <v>6176275651</v>
      </c>
      <c r="M308" s="2" t="s">
        <v>26</v>
      </c>
      <c r="N308" s="2" t="s">
        <v>26</v>
      </c>
      <c r="O308" s="2" t="s">
        <v>26</v>
      </c>
      <c r="P308" s="2" t="s">
        <v>26</v>
      </c>
      <c r="Q308" s="8" t="s">
        <v>11</v>
      </c>
      <c r="R308" s="2" t="s">
        <v>26</v>
      </c>
    </row>
    <row r="309" spans="1:18" x14ac:dyDescent="0.3">
      <c r="A309" s="1" t="s">
        <v>1958</v>
      </c>
      <c r="B309" s="2" t="s">
        <v>1959</v>
      </c>
      <c r="C309" s="2" t="s">
        <v>1960</v>
      </c>
      <c r="D309" s="2" t="s">
        <v>1961</v>
      </c>
      <c r="E309" s="2" t="s">
        <v>1962</v>
      </c>
      <c r="F309" s="2" t="s">
        <v>1963</v>
      </c>
      <c r="G309" s="2" t="s">
        <v>1964</v>
      </c>
      <c r="H309" s="2" t="s">
        <v>403</v>
      </c>
      <c r="I309" s="2">
        <v>27612</v>
      </c>
      <c r="J309" s="2" t="s">
        <v>8</v>
      </c>
      <c r="K309" s="2" t="s">
        <v>1965</v>
      </c>
      <c r="L309" s="2" t="s">
        <v>1966</v>
      </c>
      <c r="M309" s="8" t="s">
        <v>11</v>
      </c>
      <c r="N309" s="2" t="s">
        <v>26</v>
      </c>
      <c r="O309" s="2" t="s">
        <v>26</v>
      </c>
      <c r="P309" s="2" t="s">
        <v>26</v>
      </c>
      <c r="Q309" s="2" t="s">
        <v>26</v>
      </c>
      <c r="R309" s="2" t="s">
        <v>26</v>
      </c>
    </row>
    <row r="310" spans="1:18" x14ac:dyDescent="0.3">
      <c r="A310" s="1" t="s">
        <v>1967</v>
      </c>
      <c r="B310" s="2" t="s">
        <v>1968</v>
      </c>
      <c r="C310" s="2" t="s">
        <v>253</v>
      </c>
      <c r="D310" s="2" t="s">
        <v>1969</v>
      </c>
      <c r="E310" s="2" t="s">
        <v>1969</v>
      </c>
      <c r="F310" s="2" t="s">
        <v>1970</v>
      </c>
      <c r="G310" s="2" t="s">
        <v>1971</v>
      </c>
      <c r="H310" s="2" t="s">
        <v>915</v>
      </c>
      <c r="I310" s="2">
        <v>2601</v>
      </c>
      <c r="J310" s="2" t="s">
        <v>476</v>
      </c>
      <c r="K310" s="2" t="s">
        <v>1972</v>
      </c>
      <c r="L310" s="2">
        <v>61261259106</v>
      </c>
      <c r="M310" s="2" t="s">
        <v>26</v>
      </c>
      <c r="N310" s="2" t="s">
        <v>26</v>
      </c>
      <c r="O310" s="2" t="s">
        <v>26</v>
      </c>
      <c r="P310" s="2" t="s">
        <v>26</v>
      </c>
      <c r="Q310" s="8" t="s">
        <v>11</v>
      </c>
      <c r="R310" s="2" t="s">
        <v>26</v>
      </c>
    </row>
    <row r="311" spans="1:18" x14ac:dyDescent="0.3">
      <c r="A311" s="1" t="s">
        <v>1973</v>
      </c>
      <c r="B311" s="2" t="s">
        <v>1974</v>
      </c>
      <c r="C311" s="2" t="s">
        <v>1975</v>
      </c>
      <c r="D311" s="2" t="s">
        <v>1460</v>
      </c>
      <c r="E311" s="2" t="s">
        <v>1976</v>
      </c>
      <c r="F311" s="2"/>
      <c r="G311" s="2" t="s">
        <v>1463</v>
      </c>
      <c r="H311" s="2" t="s">
        <v>65</v>
      </c>
      <c r="I311" s="2">
        <v>32610</v>
      </c>
      <c r="J311" s="2" t="s">
        <v>8</v>
      </c>
      <c r="K311" s="2" t="s">
        <v>1977</v>
      </c>
      <c r="L311" s="2" t="s">
        <v>1978</v>
      </c>
      <c r="M311" s="2" t="s">
        <v>26</v>
      </c>
      <c r="N311" s="2" t="s">
        <v>26</v>
      </c>
      <c r="O311" s="8" t="s">
        <v>11</v>
      </c>
      <c r="P311" s="2" t="s">
        <v>26</v>
      </c>
      <c r="Q311" s="2" t="s">
        <v>26</v>
      </c>
      <c r="R311" s="2" t="s">
        <v>26</v>
      </c>
    </row>
    <row r="312" spans="1:18" x14ac:dyDescent="0.3">
      <c r="A312" s="1" t="s">
        <v>1979</v>
      </c>
      <c r="B312" s="2" t="s">
        <v>1980</v>
      </c>
      <c r="C312" s="2" t="s">
        <v>1981</v>
      </c>
      <c r="D312" s="2" t="s">
        <v>1982</v>
      </c>
      <c r="E312" s="2" t="s">
        <v>1983</v>
      </c>
      <c r="F312" s="2"/>
      <c r="G312" s="2" t="s">
        <v>1984</v>
      </c>
      <c r="H312" s="2" t="s">
        <v>74</v>
      </c>
      <c r="I312" s="2">
        <v>8093</v>
      </c>
      <c r="J312" s="2" t="s">
        <v>75</v>
      </c>
      <c r="K312" s="2" t="s">
        <v>1985</v>
      </c>
      <c r="L312" s="2">
        <v>446337536</v>
      </c>
      <c r="M312" s="8" t="s">
        <v>11</v>
      </c>
      <c r="N312" s="2" t="s">
        <v>26</v>
      </c>
      <c r="O312" s="2" t="s">
        <v>26</v>
      </c>
      <c r="P312" s="2" t="s">
        <v>26</v>
      </c>
      <c r="Q312" s="2" t="s">
        <v>26</v>
      </c>
      <c r="R312" s="2" t="s">
        <v>26</v>
      </c>
    </row>
    <row r="313" spans="1:18" x14ac:dyDescent="0.3">
      <c r="A313" s="1" t="s">
        <v>1986</v>
      </c>
      <c r="B313" s="2" t="s">
        <v>1987</v>
      </c>
      <c r="C313" s="2" t="s">
        <v>1988</v>
      </c>
      <c r="D313" s="2" t="s">
        <v>1989</v>
      </c>
      <c r="E313" s="2" t="s">
        <v>1990</v>
      </c>
      <c r="F313" s="2"/>
      <c r="G313" s="2" t="s">
        <v>1991</v>
      </c>
      <c r="H313" s="2" t="s">
        <v>489</v>
      </c>
      <c r="I313" s="2">
        <v>18103</v>
      </c>
      <c r="J313" s="2" t="s">
        <v>8</v>
      </c>
      <c r="K313" s="2" t="s">
        <v>1992</v>
      </c>
      <c r="L313" s="2">
        <v>9194758448</v>
      </c>
      <c r="M313" s="2" t="s">
        <v>26</v>
      </c>
      <c r="N313" s="2" t="s">
        <v>26</v>
      </c>
      <c r="O313" s="2" t="s">
        <v>26</v>
      </c>
      <c r="P313" s="2" t="s">
        <v>26</v>
      </c>
      <c r="Q313" s="8" t="s">
        <v>11</v>
      </c>
      <c r="R313" s="2" t="s">
        <v>26</v>
      </c>
    </row>
    <row r="314" spans="1:18" x14ac:dyDescent="0.3">
      <c r="A314" s="1" t="s">
        <v>1986</v>
      </c>
      <c r="B314" s="2" t="s">
        <v>1993</v>
      </c>
      <c r="C314" s="2" t="s">
        <v>78</v>
      </c>
      <c r="D314" s="2" t="s">
        <v>1994</v>
      </c>
      <c r="E314" s="2" t="s">
        <v>1995</v>
      </c>
      <c r="F314" s="2">
        <v>303</v>
      </c>
      <c r="G314" s="2" t="s">
        <v>346</v>
      </c>
      <c r="H314" s="2" t="s">
        <v>347</v>
      </c>
      <c r="I314" s="2">
        <v>53703</v>
      </c>
      <c r="J314" s="2" t="s">
        <v>8</v>
      </c>
      <c r="K314" s="2" t="s">
        <v>1996</v>
      </c>
      <c r="L314" s="2">
        <v>9187409515</v>
      </c>
      <c r="M314" s="8" t="s">
        <v>11</v>
      </c>
      <c r="N314" s="2" t="s">
        <v>26</v>
      </c>
      <c r="O314" s="2" t="s">
        <v>26</v>
      </c>
      <c r="P314" s="2" t="s">
        <v>26</v>
      </c>
      <c r="Q314" s="2" t="s">
        <v>26</v>
      </c>
      <c r="R314" s="2" t="s">
        <v>26</v>
      </c>
    </row>
    <row r="315" spans="1:18" x14ac:dyDescent="0.3">
      <c r="A315" s="1" t="s">
        <v>1997</v>
      </c>
      <c r="B315" s="2" t="s">
        <v>1998</v>
      </c>
      <c r="C315" s="2" t="s">
        <v>253</v>
      </c>
      <c r="D315" s="2" t="s">
        <v>640</v>
      </c>
      <c r="E315" s="2" t="s">
        <v>1999</v>
      </c>
      <c r="F315" s="2"/>
      <c r="G315" s="2" t="s">
        <v>202</v>
      </c>
      <c r="H315" s="2" t="s">
        <v>203</v>
      </c>
      <c r="I315" s="2">
        <v>55418</v>
      </c>
      <c r="J315" s="2" t="s">
        <v>8</v>
      </c>
      <c r="K315" s="2" t="s">
        <v>2000</v>
      </c>
      <c r="L315" s="2">
        <v>7734746227</v>
      </c>
      <c r="M315" s="2" t="s">
        <v>26</v>
      </c>
      <c r="N315" s="2" t="s">
        <v>26</v>
      </c>
      <c r="O315" s="2" t="s">
        <v>26</v>
      </c>
      <c r="P315" s="2" t="s">
        <v>26</v>
      </c>
      <c r="Q315" s="8" t="s">
        <v>11</v>
      </c>
      <c r="R315" s="2" t="s">
        <v>26</v>
      </c>
    </row>
    <row r="316" spans="1:18" x14ac:dyDescent="0.3">
      <c r="A316" s="1" t="s">
        <v>2001</v>
      </c>
      <c r="B316" s="2" t="s">
        <v>2002</v>
      </c>
      <c r="C316" s="2" t="s">
        <v>2003</v>
      </c>
      <c r="D316" s="2" t="s">
        <v>2004</v>
      </c>
      <c r="E316" s="2" t="s">
        <v>345</v>
      </c>
      <c r="F316" s="2" t="s">
        <v>2005</v>
      </c>
      <c r="G316" s="2" t="s">
        <v>2006</v>
      </c>
      <c r="H316" s="2" t="s">
        <v>203</v>
      </c>
      <c r="I316" s="2">
        <v>55105</v>
      </c>
      <c r="J316" s="2" t="s">
        <v>8</v>
      </c>
      <c r="K316" s="2" t="s">
        <v>2007</v>
      </c>
      <c r="L316" s="2">
        <v>6516966092</v>
      </c>
      <c r="M316" s="2" t="s">
        <v>26</v>
      </c>
      <c r="N316" s="8" t="s">
        <v>11</v>
      </c>
      <c r="O316" s="2" t="s">
        <v>26</v>
      </c>
      <c r="P316" s="2" t="s">
        <v>26</v>
      </c>
      <c r="Q316" s="2" t="s">
        <v>26</v>
      </c>
      <c r="R316" s="2" t="s">
        <v>26</v>
      </c>
    </row>
    <row r="317" spans="1:18" x14ac:dyDescent="0.3">
      <c r="A317" s="1" t="s">
        <v>2008</v>
      </c>
      <c r="B317" s="2" t="s">
        <v>2009</v>
      </c>
      <c r="C317" s="2" t="s">
        <v>102</v>
      </c>
      <c r="D317" s="2" t="s">
        <v>2010</v>
      </c>
      <c r="E317" s="2" t="s">
        <v>2011</v>
      </c>
      <c r="F317" s="2"/>
      <c r="G317" s="2" t="s">
        <v>445</v>
      </c>
      <c r="H317" s="2" t="s">
        <v>74</v>
      </c>
      <c r="I317" s="2">
        <v>10627</v>
      </c>
      <c r="J317" s="2" t="s">
        <v>235</v>
      </c>
      <c r="K317" s="2" t="s">
        <v>2012</v>
      </c>
      <c r="L317" s="2">
        <v>15209903170</v>
      </c>
      <c r="M317" s="2" t="s">
        <v>26</v>
      </c>
      <c r="N317" s="2" t="s">
        <v>26</v>
      </c>
      <c r="O317" s="8" t="s">
        <v>11</v>
      </c>
      <c r="P317" s="2" t="s">
        <v>26</v>
      </c>
      <c r="Q317" s="2" t="s">
        <v>26</v>
      </c>
      <c r="R317" s="2" t="s">
        <v>26</v>
      </c>
    </row>
    <row r="318" spans="1:18" x14ac:dyDescent="0.3">
      <c r="A318" s="1" t="s">
        <v>2013</v>
      </c>
      <c r="B318" s="2" t="s">
        <v>1549</v>
      </c>
      <c r="C318" s="2" t="s">
        <v>2014</v>
      </c>
      <c r="D318" s="2" t="s">
        <v>2015</v>
      </c>
      <c r="E318" s="2" t="s">
        <v>2016</v>
      </c>
      <c r="F318" s="2"/>
      <c r="G318" s="2" t="s">
        <v>2017</v>
      </c>
      <c r="H318" s="2" t="s">
        <v>34</v>
      </c>
      <c r="I318" s="2">
        <v>47909</v>
      </c>
      <c r="J318" s="2" t="s">
        <v>8</v>
      </c>
      <c r="K318" s="2" t="s">
        <v>2018</v>
      </c>
      <c r="L318" s="2">
        <v>8136063791</v>
      </c>
      <c r="M318" s="2" t="s">
        <v>26</v>
      </c>
      <c r="N318" s="2" t="s">
        <v>26</v>
      </c>
      <c r="O318" s="8" t="s">
        <v>11</v>
      </c>
      <c r="P318" s="2" t="s">
        <v>26</v>
      </c>
      <c r="Q318" s="2" t="s">
        <v>26</v>
      </c>
      <c r="R318" s="2" t="s">
        <v>26</v>
      </c>
    </row>
    <row r="319" spans="1:18" x14ac:dyDescent="0.3">
      <c r="A319" s="1" t="s">
        <v>2019</v>
      </c>
      <c r="B319" s="2" t="s">
        <v>2020</v>
      </c>
      <c r="C319" s="2" t="s">
        <v>2021</v>
      </c>
      <c r="D319" s="2" t="s">
        <v>1982</v>
      </c>
      <c r="E319" s="2" t="s">
        <v>72</v>
      </c>
      <c r="F319" s="2"/>
      <c r="G319" s="2" t="s">
        <v>1984</v>
      </c>
      <c r="H319" s="2" t="s">
        <v>74</v>
      </c>
      <c r="I319" s="2">
        <v>8093</v>
      </c>
      <c r="J319" s="2" t="s">
        <v>75</v>
      </c>
      <c r="K319" s="2" t="s">
        <v>2022</v>
      </c>
      <c r="L319" s="2" t="s">
        <v>2023</v>
      </c>
      <c r="M319" s="8" t="s">
        <v>11</v>
      </c>
      <c r="N319" s="2" t="s">
        <v>26</v>
      </c>
      <c r="O319" s="2" t="s">
        <v>26</v>
      </c>
      <c r="P319" s="2" t="s">
        <v>26</v>
      </c>
      <c r="Q319" s="2" t="s">
        <v>26</v>
      </c>
      <c r="R319" s="2" t="s">
        <v>26</v>
      </c>
    </row>
    <row r="320" spans="1:18" x14ac:dyDescent="0.3">
      <c r="A320" s="1" t="s">
        <v>2024</v>
      </c>
      <c r="B320" s="2" t="s">
        <v>2025</v>
      </c>
      <c r="C320" s="2" t="s">
        <v>2026</v>
      </c>
      <c r="D320" s="2" t="s">
        <v>2027</v>
      </c>
      <c r="E320" s="2" t="s">
        <v>2028</v>
      </c>
      <c r="F320" s="2"/>
      <c r="G320" s="2" t="s">
        <v>16</v>
      </c>
      <c r="H320" s="2" t="s">
        <v>17</v>
      </c>
      <c r="I320" s="2">
        <v>92121</v>
      </c>
      <c r="J320" s="2" t="s">
        <v>8</v>
      </c>
      <c r="K320" s="2" t="s">
        <v>2029</v>
      </c>
      <c r="L320" s="2" t="s">
        <v>2030</v>
      </c>
      <c r="M320" s="2" t="s">
        <v>26</v>
      </c>
      <c r="N320" s="2" t="s">
        <v>26</v>
      </c>
      <c r="O320" s="2" t="s">
        <v>26</v>
      </c>
      <c r="P320" s="8" t="s">
        <v>11</v>
      </c>
      <c r="Q320" s="2" t="s">
        <v>26</v>
      </c>
      <c r="R320" s="2" t="s">
        <v>26</v>
      </c>
    </row>
    <row r="321" spans="1:18" x14ac:dyDescent="0.3">
      <c r="A321" s="1" t="s">
        <v>2031</v>
      </c>
      <c r="B321" s="2" t="s">
        <v>2032</v>
      </c>
      <c r="C321" s="2" t="s">
        <v>2033</v>
      </c>
      <c r="D321" s="2" t="s">
        <v>1446</v>
      </c>
      <c r="E321" s="2" t="s">
        <v>1447</v>
      </c>
      <c r="F321" s="2"/>
      <c r="G321" s="2" t="s">
        <v>1448</v>
      </c>
      <c r="H321" s="2" t="s">
        <v>125</v>
      </c>
      <c r="I321" s="2">
        <v>60191</v>
      </c>
      <c r="J321" s="2" t="s">
        <v>8</v>
      </c>
      <c r="K321" s="2" t="s">
        <v>2034</v>
      </c>
      <c r="L321" s="2">
        <v>6307662112</v>
      </c>
      <c r="M321" s="2" t="s">
        <v>26</v>
      </c>
      <c r="N321" s="2" t="s">
        <v>26</v>
      </c>
      <c r="O321" s="2" t="s">
        <v>26</v>
      </c>
      <c r="P321" s="8" t="s">
        <v>11</v>
      </c>
      <c r="Q321" s="2" t="s">
        <v>26</v>
      </c>
      <c r="R321" s="2" t="s">
        <v>26</v>
      </c>
    </row>
    <row r="322" spans="1:18" x14ac:dyDescent="0.3">
      <c r="A322" s="1" t="s">
        <v>2035</v>
      </c>
      <c r="B322" s="2" t="s">
        <v>2036</v>
      </c>
      <c r="C322" s="2" t="s">
        <v>238</v>
      </c>
      <c r="D322" s="2" t="s">
        <v>1026</v>
      </c>
      <c r="E322" s="2" t="s">
        <v>2037</v>
      </c>
      <c r="F322" s="2"/>
      <c r="G322" s="2" t="s">
        <v>1028</v>
      </c>
      <c r="H322" s="2" t="s">
        <v>74</v>
      </c>
      <c r="I322" s="2" t="s">
        <v>2038</v>
      </c>
      <c r="J322" s="2" t="s">
        <v>258</v>
      </c>
      <c r="K322" s="2" t="s">
        <v>2039</v>
      </c>
      <c r="L322" s="2">
        <v>7826467963</v>
      </c>
      <c r="M322" s="8" t="s">
        <v>11</v>
      </c>
      <c r="N322" s="2" t="s">
        <v>26</v>
      </c>
      <c r="O322" s="2" t="s">
        <v>26</v>
      </c>
      <c r="P322" s="2" t="s">
        <v>26</v>
      </c>
      <c r="Q322" s="2" t="s">
        <v>26</v>
      </c>
      <c r="R322" s="2" t="s">
        <v>26</v>
      </c>
    </row>
    <row r="323" spans="1:18" x14ac:dyDescent="0.3">
      <c r="A323" s="1" t="s">
        <v>2040</v>
      </c>
      <c r="B323" s="2" t="s">
        <v>190</v>
      </c>
      <c r="C323" s="2" t="s">
        <v>2041</v>
      </c>
      <c r="D323" s="2" t="s">
        <v>1243</v>
      </c>
      <c r="E323" s="2" t="s">
        <v>2042</v>
      </c>
      <c r="F323" s="2"/>
      <c r="G323" s="2" t="s">
        <v>6</v>
      </c>
      <c r="H323" s="2" t="s">
        <v>7</v>
      </c>
      <c r="I323" s="2">
        <v>2140</v>
      </c>
      <c r="J323" s="2" t="s">
        <v>8</v>
      </c>
      <c r="K323" s="2" t="s">
        <v>2043</v>
      </c>
      <c r="L323" s="2">
        <v>6783656495</v>
      </c>
      <c r="M323" s="2" t="s">
        <v>26</v>
      </c>
      <c r="N323" s="2" t="s">
        <v>26</v>
      </c>
      <c r="O323" s="2" t="s">
        <v>26</v>
      </c>
      <c r="P323" s="8" t="s">
        <v>11</v>
      </c>
      <c r="Q323" s="2" t="s">
        <v>26</v>
      </c>
      <c r="R323" s="2" t="s">
        <v>26</v>
      </c>
    </row>
    <row r="324" spans="1:18" x14ac:dyDescent="0.3">
      <c r="A324" s="1" t="s">
        <v>2044</v>
      </c>
      <c r="B324" s="2" t="s">
        <v>2045</v>
      </c>
      <c r="C324" s="2"/>
      <c r="D324" s="2" t="s">
        <v>481</v>
      </c>
      <c r="E324" s="2"/>
      <c r="F324" s="2"/>
      <c r="G324" s="2"/>
      <c r="H324" s="2"/>
      <c r="I324" s="2"/>
      <c r="J324" s="2" t="s">
        <v>8</v>
      </c>
      <c r="K324" s="2" t="s">
        <v>2046</v>
      </c>
      <c r="L324" s="2"/>
      <c r="M324" s="2" t="s">
        <v>26</v>
      </c>
      <c r="N324" s="2" t="s">
        <v>26</v>
      </c>
      <c r="O324" s="2" t="s">
        <v>26</v>
      </c>
      <c r="P324" s="8" t="s">
        <v>11</v>
      </c>
      <c r="Q324" s="2" t="s">
        <v>26</v>
      </c>
      <c r="R324" s="2" t="s">
        <v>26</v>
      </c>
    </row>
    <row r="325" spans="1:18" x14ac:dyDescent="0.3">
      <c r="A325" s="1" t="s">
        <v>2047</v>
      </c>
      <c r="B325" s="2" t="s">
        <v>2048</v>
      </c>
      <c r="C325" s="2" t="s">
        <v>1927</v>
      </c>
      <c r="D325" s="2" t="s">
        <v>2049</v>
      </c>
      <c r="E325" s="2" t="s">
        <v>2050</v>
      </c>
      <c r="F325" s="2"/>
      <c r="G325" s="2" t="s">
        <v>2051</v>
      </c>
      <c r="H325" s="2" t="s">
        <v>7</v>
      </c>
      <c r="I325" s="2">
        <v>1370</v>
      </c>
      <c r="J325" s="2" t="s">
        <v>8</v>
      </c>
      <c r="K325" s="2" t="s">
        <v>2052</v>
      </c>
      <c r="L325" s="2">
        <v>4135484621</v>
      </c>
      <c r="M325" s="2" t="s">
        <v>26</v>
      </c>
      <c r="N325" s="2" t="s">
        <v>26</v>
      </c>
      <c r="O325" s="2" t="s">
        <v>26</v>
      </c>
      <c r="P325" s="2" t="s">
        <v>26</v>
      </c>
      <c r="Q325" s="8" t="s">
        <v>11</v>
      </c>
      <c r="R325" s="2" t="s">
        <v>26</v>
      </c>
    </row>
    <row r="326" spans="1:18" x14ac:dyDescent="0.3">
      <c r="A326" s="1" t="s">
        <v>2053</v>
      </c>
      <c r="B326" s="2" t="s">
        <v>2054</v>
      </c>
      <c r="C326" s="2" t="s">
        <v>253</v>
      </c>
      <c r="D326" s="2" t="s">
        <v>2055</v>
      </c>
      <c r="E326" s="2" t="s">
        <v>2056</v>
      </c>
      <c r="F326" s="2"/>
      <c r="G326" s="2" t="s">
        <v>1684</v>
      </c>
      <c r="H326" s="2" t="s">
        <v>489</v>
      </c>
      <c r="I326" s="2">
        <v>19131</v>
      </c>
      <c r="J326" s="2" t="s">
        <v>8</v>
      </c>
      <c r="K326" s="2" t="s">
        <v>2057</v>
      </c>
      <c r="L326" s="2" t="s">
        <v>2058</v>
      </c>
      <c r="M326" s="2" t="s">
        <v>26</v>
      </c>
      <c r="N326" s="2" t="s">
        <v>26</v>
      </c>
      <c r="O326" s="2" t="s">
        <v>26</v>
      </c>
      <c r="P326" s="2" t="s">
        <v>26</v>
      </c>
      <c r="Q326" s="2" t="s">
        <v>26</v>
      </c>
      <c r="R326" s="2" t="s">
        <v>26</v>
      </c>
    </row>
    <row r="327" spans="1:18" x14ac:dyDescent="0.3">
      <c r="A327" s="1" t="s">
        <v>2059</v>
      </c>
      <c r="B327" s="2" t="s">
        <v>120</v>
      </c>
      <c r="C327" s="2" t="s">
        <v>78</v>
      </c>
      <c r="D327" s="2" t="s">
        <v>239</v>
      </c>
      <c r="E327" s="2" t="s">
        <v>2060</v>
      </c>
      <c r="F327" s="2" t="s">
        <v>2061</v>
      </c>
      <c r="G327" s="2" t="s">
        <v>241</v>
      </c>
      <c r="H327" s="2" t="s">
        <v>242</v>
      </c>
      <c r="I327" s="2">
        <v>84109</v>
      </c>
      <c r="J327" s="2" t="s">
        <v>8</v>
      </c>
      <c r="K327" s="2" t="s">
        <v>2062</v>
      </c>
      <c r="L327" s="2">
        <v>5857328508</v>
      </c>
      <c r="M327" s="2" t="s">
        <v>26</v>
      </c>
      <c r="N327" s="2" t="s">
        <v>26</v>
      </c>
      <c r="O327" s="2" t="s">
        <v>26</v>
      </c>
      <c r="P327" s="2" t="s">
        <v>26</v>
      </c>
      <c r="Q327" s="2" t="s">
        <v>26</v>
      </c>
      <c r="R327" s="2" t="s">
        <v>26</v>
      </c>
    </row>
    <row r="328" spans="1:18" x14ac:dyDescent="0.3">
      <c r="A328" s="1" t="s">
        <v>2063</v>
      </c>
      <c r="B328" s="2" t="s">
        <v>1993</v>
      </c>
      <c r="C328" s="2" t="s">
        <v>78</v>
      </c>
      <c r="D328" s="2" t="s">
        <v>640</v>
      </c>
      <c r="E328" s="2" t="s">
        <v>2064</v>
      </c>
      <c r="F328" s="2"/>
      <c r="G328" s="2" t="s">
        <v>202</v>
      </c>
      <c r="H328" s="2" t="s">
        <v>203</v>
      </c>
      <c r="I328" s="2">
        <v>55414</v>
      </c>
      <c r="J328" s="2" t="s">
        <v>8</v>
      </c>
      <c r="K328" s="2" t="s">
        <v>2065</v>
      </c>
      <c r="L328" s="2">
        <v>6127070889</v>
      </c>
      <c r="M328" s="8" t="s">
        <v>11</v>
      </c>
      <c r="N328" s="2" t="s">
        <v>26</v>
      </c>
      <c r="O328" s="2" t="s">
        <v>26</v>
      </c>
      <c r="P328" s="2" t="s">
        <v>26</v>
      </c>
      <c r="Q328" s="2" t="s">
        <v>26</v>
      </c>
      <c r="R328" s="2" t="s">
        <v>26</v>
      </c>
    </row>
    <row r="329" spans="1:18" x14ac:dyDescent="0.3">
      <c r="A329" s="1" t="s">
        <v>2066</v>
      </c>
      <c r="B329" s="2" t="s">
        <v>701</v>
      </c>
      <c r="C329" s="2" t="s">
        <v>78</v>
      </c>
      <c r="D329" s="2" t="s">
        <v>114</v>
      </c>
      <c r="E329" s="2" t="s">
        <v>115</v>
      </c>
      <c r="F329" s="2"/>
      <c r="G329" s="2" t="s">
        <v>116</v>
      </c>
      <c r="H329" s="2" t="s">
        <v>17</v>
      </c>
      <c r="I329" s="2">
        <v>92037</v>
      </c>
      <c r="J329" s="2" t="s">
        <v>8</v>
      </c>
      <c r="K329" s="2" t="s">
        <v>2067</v>
      </c>
      <c r="L329" s="2" t="s">
        <v>118</v>
      </c>
      <c r="M329" s="8" t="s">
        <v>11</v>
      </c>
      <c r="N329" s="2" t="s">
        <v>26</v>
      </c>
      <c r="O329" s="2" t="s">
        <v>26</v>
      </c>
      <c r="P329" s="2" t="s">
        <v>26</v>
      </c>
      <c r="Q329" s="2" t="s">
        <v>26</v>
      </c>
      <c r="R329" s="2" t="s">
        <v>26</v>
      </c>
    </row>
    <row r="330" spans="1:18" x14ac:dyDescent="0.3">
      <c r="A330" s="1" t="s">
        <v>2068</v>
      </c>
      <c r="B330" s="2" t="s">
        <v>1549</v>
      </c>
      <c r="C330" s="2" t="s">
        <v>2069</v>
      </c>
      <c r="D330" s="2" t="s">
        <v>2070</v>
      </c>
      <c r="E330" s="2" t="s">
        <v>2071</v>
      </c>
      <c r="F330" s="2"/>
      <c r="G330" s="2" t="s">
        <v>751</v>
      </c>
      <c r="H330" s="2" t="s">
        <v>7</v>
      </c>
      <c r="I330" s="2">
        <v>2476</v>
      </c>
      <c r="J330" s="2" t="s">
        <v>8</v>
      </c>
      <c r="K330" s="2" t="s">
        <v>2072</v>
      </c>
      <c r="L330" s="2">
        <v>3393684153</v>
      </c>
      <c r="M330" s="2" t="s">
        <v>26</v>
      </c>
      <c r="N330" s="8" t="s">
        <v>11</v>
      </c>
      <c r="O330" s="2" t="s">
        <v>26</v>
      </c>
      <c r="P330" s="2" t="s">
        <v>26</v>
      </c>
      <c r="Q330" s="2" t="s">
        <v>26</v>
      </c>
      <c r="R330" s="2" t="s">
        <v>26</v>
      </c>
    </row>
    <row r="331" spans="1:18" x14ac:dyDescent="0.3">
      <c r="A331" s="1" t="s">
        <v>2073</v>
      </c>
      <c r="B331" s="2" t="s">
        <v>2074</v>
      </c>
      <c r="C331" s="2" t="s">
        <v>1681</v>
      </c>
      <c r="D331" s="2" t="s">
        <v>2075</v>
      </c>
      <c r="E331" s="2" t="s">
        <v>2076</v>
      </c>
      <c r="F331" s="2"/>
      <c r="G331" s="2" t="s">
        <v>1069</v>
      </c>
      <c r="H331" s="2" t="s">
        <v>74</v>
      </c>
      <c r="I331" s="2">
        <v>300270</v>
      </c>
      <c r="J331" s="2" t="s">
        <v>509</v>
      </c>
      <c r="K331" s="2" t="s">
        <v>2077</v>
      </c>
      <c r="L331" s="2">
        <v>8615922017395</v>
      </c>
      <c r="M331" s="2" t="s">
        <v>26</v>
      </c>
      <c r="N331" s="2" t="s">
        <v>26</v>
      </c>
      <c r="O331" s="2" t="s">
        <v>26</v>
      </c>
      <c r="P331" s="8" t="s">
        <v>11</v>
      </c>
      <c r="Q331" s="2" t="s">
        <v>26</v>
      </c>
      <c r="R331" s="2" t="s">
        <v>26</v>
      </c>
    </row>
    <row r="332" spans="1:18" x14ac:dyDescent="0.3">
      <c r="A332" s="1" t="s">
        <v>2078</v>
      </c>
      <c r="B332" s="2" t="s">
        <v>2079</v>
      </c>
      <c r="C332" s="2" t="s">
        <v>385</v>
      </c>
      <c r="D332" s="2" t="s">
        <v>2080</v>
      </c>
      <c r="E332" s="2" t="s">
        <v>2081</v>
      </c>
      <c r="F332" s="2"/>
      <c r="G332" s="2" t="s">
        <v>2082</v>
      </c>
      <c r="H332" s="2" t="s">
        <v>96</v>
      </c>
      <c r="I332" s="2" t="s">
        <v>2083</v>
      </c>
      <c r="J332" s="2" t="s">
        <v>98</v>
      </c>
      <c r="K332" s="2" t="s">
        <v>2084</v>
      </c>
      <c r="L332" s="2">
        <v>5813074310</v>
      </c>
      <c r="M332" s="8" t="s">
        <v>11</v>
      </c>
      <c r="N332" s="2" t="s">
        <v>26</v>
      </c>
      <c r="O332" s="2" t="s">
        <v>26</v>
      </c>
      <c r="P332" s="2" t="s">
        <v>26</v>
      </c>
      <c r="Q332" s="2" t="s">
        <v>26</v>
      </c>
      <c r="R332" s="2" t="s">
        <v>26</v>
      </c>
    </row>
    <row r="333" spans="1:18" x14ac:dyDescent="0.3">
      <c r="A333" s="1" t="s">
        <v>2085</v>
      </c>
      <c r="B333" s="2" t="s">
        <v>2086</v>
      </c>
      <c r="C333" s="2" t="s">
        <v>102</v>
      </c>
      <c r="D333" s="2" t="s">
        <v>2087</v>
      </c>
      <c r="E333" s="2" t="s">
        <v>1356</v>
      </c>
      <c r="F333" s="2"/>
      <c r="G333" s="2" t="s">
        <v>992</v>
      </c>
      <c r="H333" s="2" t="s">
        <v>74</v>
      </c>
      <c r="I333" s="2" t="s">
        <v>1357</v>
      </c>
      <c r="J333" s="2" t="s">
        <v>258</v>
      </c>
      <c r="K333" s="2" t="s">
        <v>2088</v>
      </c>
      <c r="L333" s="2">
        <v>442037965058</v>
      </c>
      <c r="M333" s="2" t="s">
        <v>26</v>
      </c>
      <c r="N333" s="2" t="s">
        <v>26</v>
      </c>
      <c r="O333" s="2" t="s">
        <v>26</v>
      </c>
      <c r="P333" s="2" t="s">
        <v>26</v>
      </c>
      <c r="Q333" s="8" t="s">
        <v>11</v>
      </c>
      <c r="R333" s="2" t="s">
        <v>26</v>
      </c>
    </row>
    <row r="334" spans="1:18" x14ac:dyDescent="0.3">
      <c r="A334" s="1" t="s">
        <v>2089</v>
      </c>
      <c r="B334" s="2" t="s">
        <v>2090</v>
      </c>
      <c r="C334" s="2" t="s">
        <v>78</v>
      </c>
      <c r="D334" s="2" t="s">
        <v>1275</v>
      </c>
      <c r="E334" s="2" t="s">
        <v>2091</v>
      </c>
      <c r="F334" s="2" t="s">
        <v>2092</v>
      </c>
      <c r="G334" s="2" t="s">
        <v>2093</v>
      </c>
      <c r="H334" s="2" t="s">
        <v>74</v>
      </c>
      <c r="I334" s="2">
        <v>1130001</v>
      </c>
      <c r="J334" s="2" t="s">
        <v>417</v>
      </c>
      <c r="K334" s="2" t="s">
        <v>2094</v>
      </c>
      <c r="L334" s="2" t="s">
        <v>2095</v>
      </c>
      <c r="M334" s="8" t="s">
        <v>11</v>
      </c>
      <c r="N334" s="2" t="s">
        <v>26</v>
      </c>
      <c r="O334" s="2" t="s">
        <v>26</v>
      </c>
      <c r="P334" s="2" t="s">
        <v>26</v>
      </c>
      <c r="Q334" s="2" t="s">
        <v>26</v>
      </c>
      <c r="R334" s="2" t="s">
        <v>26</v>
      </c>
    </row>
    <row r="335" spans="1:18" x14ac:dyDescent="0.3">
      <c r="A335" s="1" t="s">
        <v>2096</v>
      </c>
      <c r="B335" s="2" t="s">
        <v>2097</v>
      </c>
      <c r="C335" s="2" t="s">
        <v>2098</v>
      </c>
      <c r="D335" s="2" t="s">
        <v>2099</v>
      </c>
      <c r="E335" s="2" t="s">
        <v>2100</v>
      </c>
      <c r="F335" s="2"/>
      <c r="G335" s="2" t="s">
        <v>2101</v>
      </c>
      <c r="H335" s="2" t="s">
        <v>74</v>
      </c>
      <c r="I335" s="2" t="s">
        <v>2102</v>
      </c>
      <c r="J335" s="2" t="s">
        <v>258</v>
      </c>
      <c r="K335" s="2" t="s">
        <v>2103</v>
      </c>
      <c r="L335" s="2">
        <v>0</v>
      </c>
      <c r="M335" s="2" t="s">
        <v>26</v>
      </c>
      <c r="N335" s="2" t="s">
        <v>26</v>
      </c>
      <c r="O335" s="2" t="s">
        <v>26</v>
      </c>
      <c r="P335" s="2" t="s">
        <v>26</v>
      </c>
      <c r="Q335" s="8" t="s">
        <v>11</v>
      </c>
      <c r="R335" s="2" t="s">
        <v>26</v>
      </c>
    </row>
    <row r="336" spans="1:18" x14ac:dyDescent="0.3">
      <c r="A336" s="1" t="s">
        <v>2104</v>
      </c>
      <c r="B336" s="2" t="s">
        <v>2105</v>
      </c>
      <c r="C336" s="2" t="s">
        <v>2106</v>
      </c>
      <c r="D336" s="2" t="s">
        <v>756</v>
      </c>
      <c r="E336" s="2" t="s">
        <v>2107</v>
      </c>
      <c r="F336" s="2"/>
      <c r="G336" s="2" t="s">
        <v>2108</v>
      </c>
      <c r="H336" s="2" t="s">
        <v>17</v>
      </c>
      <c r="I336" s="2">
        <v>92081</v>
      </c>
      <c r="J336" s="2" t="s">
        <v>8</v>
      </c>
      <c r="K336" s="2" t="s">
        <v>2109</v>
      </c>
      <c r="L336" s="2">
        <v>5182486519</v>
      </c>
      <c r="M336" s="2" t="s">
        <v>26</v>
      </c>
      <c r="N336" s="2" t="s">
        <v>26</v>
      </c>
      <c r="O336" s="2" t="s">
        <v>26</v>
      </c>
      <c r="P336" s="8" t="s">
        <v>11</v>
      </c>
      <c r="Q336" s="2" t="s">
        <v>26</v>
      </c>
      <c r="R336" s="2" t="s">
        <v>26</v>
      </c>
    </row>
    <row r="337" spans="1:18" x14ac:dyDescent="0.3">
      <c r="A337" s="1" t="s">
        <v>2110</v>
      </c>
      <c r="B337" s="2" t="s">
        <v>2111</v>
      </c>
      <c r="C337" s="2" t="s">
        <v>2112</v>
      </c>
      <c r="D337" s="2" t="s">
        <v>2113</v>
      </c>
      <c r="E337" s="2" t="s">
        <v>2114</v>
      </c>
      <c r="F337" s="2"/>
      <c r="G337" s="2" t="s">
        <v>324</v>
      </c>
      <c r="H337" s="2" t="s">
        <v>74</v>
      </c>
      <c r="I337" s="2">
        <v>50019</v>
      </c>
      <c r="J337" s="2" t="s">
        <v>325</v>
      </c>
      <c r="K337" s="2" t="s">
        <v>2115</v>
      </c>
      <c r="L337" s="2">
        <v>334573255</v>
      </c>
      <c r="M337" s="8" t="s">
        <v>11</v>
      </c>
      <c r="N337" s="2" t="s">
        <v>26</v>
      </c>
      <c r="O337" s="2" t="s">
        <v>26</v>
      </c>
      <c r="P337" s="2" t="s">
        <v>26</v>
      </c>
      <c r="Q337" s="2" t="s">
        <v>26</v>
      </c>
      <c r="R337" s="2" t="s">
        <v>26</v>
      </c>
    </row>
    <row r="338" spans="1:18" x14ac:dyDescent="0.3">
      <c r="A338" s="1" t="s">
        <v>2116</v>
      </c>
      <c r="B338" s="2" t="s">
        <v>2117</v>
      </c>
      <c r="C338" s="2" t="s">
        <v>2118</v>
      </c>
      <c r="D338" s="2" t="s">
        <v>2119</v>
      </c>
      <c r="E338" s="2" t="s">
        <v>2120</v>
      </c>
      <c r="F338" s="2"/>
      <c r="G338" s="2" t="s">
        <v>2121</v>
      </c>
      <c r="H338" s="2" t="s">
        <v>403</v>
      </c>
      <c r="I338" s="2">
        <v>28732</v>
      </c>
      <c r="J338" s="2" t="s">
        <v>8</v>
      </c>
      <c r="K338" s="2" t="s">
        <v>2122</v>
      </c>
      <c r="L338" s="2">
        <v>6312589619</v>
      </c>
      <c r="M338" s="2" t="s">
        <v>26</v>
      </c>
      <c r="N338" s="2" t="s">
        <v>26</v>
      </c>
      <c r="O338" s="2" t="s">
        <v>26</v>
      </c>
      <c r="P338" s="2" t="s">
        <v>26</v>
      </c>
      <c r="Q338" s="2" t="s">
        <v>26</v>
      </c>
      <c r="R338" s="8" t="s">
        <v>11</v>
      </c>
    </row>
    <row r="339" spans="1:18" x14ac:dyDescent="0.3">
      <c r="A339" s="1" t="s">
        <v>2123</v>
      </c>
      <c r="B339" s="2" t="s">
        <v>2124</v>
      </c>
      <c r="C339" s="2" t="s">
        <v>2125</v>
      </c>
      <c r="D339" s="2" t="s">
        <v>2126</v>
      </c>
      <c r="E339" s="2" t="s">
        <v>2127</v>
      </c>
      <c r="F339" s="2" t="s">
        <v>2128</v>
      </c>
      <c r="G339" s="2" t="s">
        <v>2129</v>
      </c>
      <c r="H339" s="2" t="s">
        <v>74</v>
      </c>
      <c r="I339" s="2">
        <v>500049</v>
      </c>
      <c r="J339" s="2" t="s">
        <v>36</v>
      </c>
      <c r="K339" s="2" t="s">
        <v>2130</v>
      </c>
      <c r="L339" s="2">
        <v>918008001545</v>
      </c>
      <c r="M339" s="2" t="s">
        <v>26</v>
      </c>
      <c r="N339" s="2" t="s">
        <v>26</v>
      </c>
      <c r="O339" s="8" t="s">
        <v>11</v>
      </c>
      <c r="P339" s="2" t="s">
        <v>26</v>
      </c>
      <c r="Q339" s="2" t="s">
        <v>26</v>
      </c>
      <c r="R339" s="2" t="s">
        <v>26</v>
      </c>
    </row>
    <row r="340" spans="1:18" x14ac:dyDescent="0.3">
      <c r="A340" s="1" t="s">
        <v>346</v>
      </c>
      <c r="B340" s="2" t="s">
        <v>2131</v>
      </c>
      <c r="C340" s="2" t="s">
        <v>191</v>
      </c>
      <c r="D340" s="2" t="s">
        <v>30</v>
      </c>
      <c r="E340" s="2" t="s">
        <v>2132</v>
      </c>
      <c r="F340" s="2"/>
      <c r="G340" s="2" t="s">
        <v>33</v>
      </c>
      <c r="H340" s="2" t="s">
        <v>34</v>
      </c>
      <c r="I340" s="2">
        <v>46617</v>
      </c>
      <c r="J340" s="2" t="s">
        <v>8</v>
      </c>
      <c r="K340" s="2" t="s">
        <v>2133</v>
      </c>
      <c r="L340" s="2" t="s">
        <v>2134</v>
      </c>
      <c r="M340" s="8" t="s">
        <v>11</v>
      </c>
      <c r="N340" s="2" t="s">
        <v>26</v>
      </c>
      <c r="O340" s="2" t="s">
        <v>26</v>
      </c>
      <c r="P340" s="2" t="s">
        <v>26</v>
      </c>
      <c r="Q340" s="2" t="s">
        <v>26</v>
      </c>
      <c r="R340" s="2" t="s">
        <v>26</v>
      </c>
    </row>
    <row r="341" spans="1:18" x14ac:dyDescent="0.3">
      <c r="A341" s="1" t="s">
        <v>2135</v>
      </c>
      <c r="B341" s="2" t="s">
        <v>2136</v>
      </c>
      <c r="C341" s="2" t="s">
        <v>244</v>
      </c>
      <c r="D341" s="2" t="s">
        <v>366</v>
      </c>
      <c r="E341" s="2" t="s">
        <v>2137</v>
      </c>
      <c r="F341" s="2"/>
      <c r="G341" s="2" t="s">
        <v>2138</v>
      </c>
      <c r="H341" s="2" t="s">
        <v>195</v>
      </c>
      <c r="I341" s="2">
        <v>10710</v>
      </c>
      <c r="J341" s="2" t="s">
        <v>8</v>
      </c>
      <c r="K341" s="2" t="s">
        <v>2139</v>
      </c>
      <c r="L341" s="2">
        <v>6467173973</v>
      </c>
      <c r="M341" s="2" t="s">
        <v>26</v>
      </c>
      <c r="N341" s="2" t="s">
        <v>26</v>
      </c>
      <c r="O341" s="2" t="s">
        <v>26</v>
      </c>
      <c r="P341" s="2" t="s">
        <v>26</v>
      </c>
      <c r="Q341" s="2" t="s">
        <v>26</v>
      </c>
      <c r="R341" s="8" t="s">
        <v>11</v>
      </c>
    </row>
    <row r="342" spans="1:18" x14ac:dyDescent="0.3">
      <c r="A342" s="1" t="s">
        <v>2140</v>
      </c>
      <c r="B342" s="2" t="s">
        <v>2141</v>
      </c>
      <c r="C342" s="2" t="s">
        <v>385</v>
      </c>
      <c r="D342" s="2" t="s">
        <v>1217</v>
      </c>
      <c r="E342" s="2" t="s">
        <v>2142</v>
      </c>
      <c r="F342" s="2"/>
      <c r="G342" s="2" t="s">
        <v>2143</v>
      </c>
      <c r="H342" s="2" t="s">
        <v>74</v>
      </c>
      <c r="I342" s="2">
        <v>3200003</v>
      </c>
      <c r="J342" s="2" t="s">
        <v>967</v>
      </c>
      <c r="K342" s="2" t="s">
        <v>2144</v>
      </c>
      <c r="L342" s="2">
        <v>545444039</v>
      </c>
      <c r="M342" s="8" t="s">
        <v>11</v>
      </c>
      <c r="N342" s="2" t="s">
        <v>26</v>
      </c>
      <c r="O342" s="2" t="s">
        <v>26</v>
      </c>
      <c r="P342" s="2" t="s">
        <v>26</v>
      </c>
      <c r="Q342" s="2" t="s">
        <v>26</v>
      </c>
      <c r="R342" s="2" t="s">
        <v>26</v>
      </c>
    </row>
    <row r="343" spans="1:18" x14ac:dyDescent="0.3">
      <c r="A343" s="1" t="s">
        <v>2145</v>
      </c>
      <c r="B343" s="2" t="s">
        <v>2146</v>
      </c>
      <c r="C343" s="2" t="s">
        <v>253</v>
      </c>
      <c r="D343" s="2" t="s">
        <v>2147</v>
      </c>
      <c r="E343" s="2" t="s">
        <v>2148</v>
      </c>
      <c r="F343" s="2"/>
      <c r="G343" s="2" t="s">
        <v>2149</v>
      </c>
      <c r="H343" s="2" t="s">
        <v>74</v>
      </c>
      <c r="I343" s="2">
        <v>53115</v>
      </c>
      <c r="J343" s="2" t="s">
        <v>235</v>
      </c>
      <c r="K343" s="2" t="s">
        <v>2150</v>
      </c>
      <c r="L343" s="2">
        <v>492287369649</v>
      </c>
      <c r="M343" s="2" t="s">
        <v>26</v>
      </c>
      <c r="N343" s="2" t="s">
        <v>26</v>
      </c>
      <c r="O343" s="2" t="s">
        <v>26</v>
      </c>
      <c r="P343" s="2" t="s">
        <v>26</v>
      </c>
      <c r="Q343" s="8" t="s">
        <v>11</v>
      </c>
      <c r="R343" s="2" t="s">
        <v>26</v>
      </c>
    </row>
    <row r="344" spans="1:18" x14ac:dyDescent="0.3">
      <c r="A344" s="1" t="s">
        <v>2151</v>
      </c>
      <c r="B344" s="2" t="s">
        <v>2152</v>
      </c>
      <c r="C344" s="2" t="s">
        <v>2153</v>
      </c>
      <c r="D344" s="2" t="s">
        <v>1034</v>
      </c>
      <c r="E344" s="2" t="s">
        <v>2154</v>
      </c>
      <c r="F344" s="2"/>
      <c r="G344" s="2" t="s">
        <v>2155</v>
      </c>
      <c r="H344" s="2" t="s">
        <v>7</v>
      </c>
      <c r="I344" s="2" t="s">
        <v>1049</v>
      </c>
      <c r="J344" s="2" t="s">
        <v>8</v>
      </c>
      <c r="K344" s="2" t="s">
        <v>2156</v>
      </c>
      <c r="L344" s="2" t="s">
        <v>2157</v>
      </c>
      <c r="M344" s="2" t="s">
        <v>26</v>
      </c>
      <c r="N344" s="2" t="s">
        <v>26</v>
      </c>
      <c r="O344" s="2" t="s">
        <v>26</v>
      </c>
      <c r="P344" s="8" t="s">
        <v>11</v>
      </c>
      <c r="Q344" s="2" t="s">
        <v>26</v>
      </c>
      <c r="R344" s="2" t="s">
        <v>26</v>
      </c>
    </row>
    <row r="345" spans="1:18" x14ac:dyDescent="0.3">
      <c r="A345" s="1" t="s">
        <v>2158</v>
      </c>
      <c r="B345" s="2" t="s">
        <v>2159</v>
      </c>
      <c r="C345" s="2" t="s">
        <v>2160</v>
      </c>
      <c r="D345" s="2" t="s">
        <v>1034</v>
      </c>
      <c r="E345" s="2" t="s">
        <v>2161</v>
      </c>
      <c r="F345" s="2"/>
      <c r="G345" s="2" t="s">
        <v>2162</v>
      </c>
      <c r="H345" s="2" t="s">
        <v>74</v>
      </c>
      <c r="I345" s="2">
        <v>500078</v>
      </c>
      <c r="J345" s="2" t="s">
        <v>36</v>
      </c>
      <c r="K345" s="2" t="s">
        <v>2163</v>
      </c>
      <c r="L345" s="2">
        <v>9603284520</v>
      </c>
      <c r="M345" s="2" t="s">
        <v>26</v>
      </c>
      <c r="N345" s="2" t="s">
        <v>26</v>
      </c>
      <c r="O345" s="2" t="s">
        <v>26</v>
      </c>
      <c r="P345" s="8" t="s">
        <v>11</v>
      </c>
      <c r="Q345" s="2" t="s">
        <v>26</v>
      </c>
      <c r="R345" s="2" t="s">
        <v>26</v>
      </c>
    </row>
    <row r="346" spans="1:18" x14ac:dyDescent="0.3">
      <c r="A346" s="1" t="s">
        <v>2164</v>
      </c>
      <c r="B346" s="2" t="s">
        <v>1403</v>
      </c>
      <c r="C346" s="2" t="s">
        <v>2165</v>
      </c>
      <c r="D346" s="2" t="s">
        <v>668</v>
      </c>
      <c r="E346" s="2" t="s">
        <v>669</v>
      </c>
      <c r="F346" s="2"/>
      <c r="G346" s="2" t="s">
        <v>670</v>
      </c>
      <c r="H346" s="2" t="s">
        <v>7</v>
      </c>
      <c r="I346" s="2">
        <v>1434</v>
      </c>
      <c r="J346" s="2" t="s">
        <v>8</v>
      </c>
      <c r="K346" s="2" t="s">
        <v>2166</v>
      </c>
      <c r="L346" s="2">
        <v>9784871</v>
      </c>
      <c r="M346" s="2" t="s">
        <v>26</v>
      </c>
      <c r="N346" s="2" t="s">
        <v>26</v>
      </c>
      <c r="O346" s="2" t="s">
        <v>26</v>
      </c>
      <c r="P346" s="8" t="s">
        <v>11</v>
      </c>
      <c r="Q346" s="2" t="s">
        <v>26</v>
      </c>
      <c r="R346" s="2" t="s">
        <v>26</v>
      </c>
    </row>
    <row r="347" spans="1:18" x14ac:dyDescent="0.3">
      <c r="A347" s="1" t="s">
        <v>2167</v>
      </c>
      <c r="B347" s="2" t="s">
        <v>2168</v>
      </c>
      <c r="C347" s="2" t="s">
        <v>971</v>
      </c>
      <c r="D347" s="2" t="s">
        <v>2169</v>
      </c>
      <c r="E347" s="2" t="s">
        <v>2170</v>
      </c>
      <c r="F347" s="2" t="s">
        <v>2171</v>
      </c>
      <c r="G347" s="2" t="s">
        <v>2172</v>
      </c>
      <c r="H347" s="2" t="s">
        <v>1723</v>
      </c>
      <c r="I347" s="2" t="s">
        <v>2173</v>
      </c>
      <c r="J347" s="2" t="s">
        <v>98</v>
      </c>
      <c r="K347" s="2" t="s">
        <v>2174</v>
      </c>
      <c r="L347" s="2">
        <v>6136967000</v>
      </c>
      <c r="M347" s="2" t="s">
        <v>26</v>
      </c>
      <c r="N347" s="2" t="s">
        <v>26</v>
      </c>
      <c r="O347" s="8" t="s">
        <v>11</v>
      </c>
      <c r="P347" s="2" t="s">
        <v>26</v>
      </c>
      <c r="Q347" s="2" t="s">
        <v>26</v>
      </c>
      <c r="R347" s="2" t="s">
        <v>26</v>
      </c>
    </row>
    <row r="348" spans="1:18" x14ac:dyDescent="0.3">
      <c r="A348" s="1" t="s">
        <v>2175</v>
      </c>
      <c r="B348" s="2" t="s">
        <v>2176</v>
      </c>
      <c r="C348" s="2" t="s">
        <v>253</v>
      </c>
      <c r="D348" s="2" t="s">
        <v>2177</v>
      </c>
      <c r="E348" s="2" t="s">
        <v>2178</v>
      </c>
      <c r="F348" s="2"/>
      <c r="G348" s="2" t="s">
        <v>886</v>
      </c>
      <c r="H348" s="2" t="s">
        <v>403</v>
      </c>
      <c r="I348" s="2">
        <v>27599</v>
      </c>
      <c r="J348" s="2" t="s">
        <v>8</v>
      </c>
      <c r="K348" s="2" t="s">
        <v>2179</v>
      </c>
      <c r="L348" s="2">
        <v>9198436522</v>
      </c>
      <c r="M348" s="2" t="s">
        <v>26</v>
      </c>
      <c r="N348" s="2" t="s">
        <v>26</v>
      </c>
      <c r="O348" s="2" t="s">
        <v>26</v>
      </c>
      <c r="P348" s="2" t="s">
        <v>26</v>
      </c>
      <c r="Q348" s="8" t="s">
        <v>11</v>
      </c>
      <c r="R348" s="2" t="s">
        <v>26</v>
      </c>
    </row>
    <row r="349" spans="1:18" x14ac:dyDescent="0.3">
      <c r="A349" s="1" t="s">
        <v>2180</v>
      </c>
      <c r="B349" s="2" t="s">
        <v>2181</v>
      </c>
      <c r="C349" s="2" t="s">
        <v>280</v>
      </c>
      <c r="D349" s="2" t="s">
        <v>114</v>
      </c>
      <c r="E349" s="2" t="s">
        <v>2182</v>
      </c>
      <c r="F349" s="2"/>
      <c r="G349" s="2" t="s">
        <v>116</v>
      </c>
      <c r="H349" s="2" t="s">
        <v>17</v>
      </c>
      <c r="I349" s="2">
        <v>92307</v>
      </c>
      <c r="J349" s="2" t="s">
        <v>8</v>
      </c>
      <c r="K349" s="2" t="s">
        <v>2183</v>
      </c>
      <c r="L349" s="2">
        <v>6265133795</v>
      </c>
      <c r="M349" s="2" t="s">
        <v>26</v>
      </c>
      <c r="N349" s="2" t="s">
        <v>26</v>
      </c>
      <c r="O349" s="2" t="s">
        <v>26</v>
      </c>
      <c r="P349" s="2" t="s">
        <v>26</v>
      </c>
      <c r="Q349" s="8" t="s">
        <v>11</v>
      </c>
      <c r="R349" s="2" t="s">
        <v>26</v>
      </c>
    </row>
    <row r="350" spans="1:18" x14ac:dyDescent="0.3">
      <c r="A350" s="1" t="s">
        <v>2184</v>
      </c>
      <c r="B350" s="2" t="s">
        <v>2185</v>
      </c>
      <c r="C350" s="2" t="s">
        <v>253</v>
      </c>
      <c r="D350" s="2" t="s">
        <v>1842</v>
      </c>
      <c r="E350" s="2" t="s">
        <v>2186</v>
      </c>
      <c r="F350" s="2" t="s">
        <v>2187</v>
      </c>
      <c r="G350" s="2" t="s">
        <v>1844</v>
      </c>
      <c r="H350" s="2" t="s">
        <v>655</v>
      </c>
      <c r="I350" s="2">
        <v>22904</v>
      </c>
      <c r="J350" s="2" t="s">
        <v>8</v>
      </c>
      <c r="K350" s="2" t="s">
        <v>2188</v>
      </c>
      <c r="L350" s="2">
        <v>4846337201</v>
      </c>
      <c r="M350" s="2" t="s">
        <v>26</v>
      </c>
      <c r="N350" s="2" t="s">
        <v>26</v>
      </c>
      <c r="O350" s="2" t="s">
        <v>26</v>
      </c>
      <c r="P350" s="2" t="s">
        <v>26</v>
      </c>
      <c r="Q350" s="8" t="s">
        <v>11</v>
      </c>
      <c r="R350" s="2" t="s">
        <v>26</v>
      </c>
    </row>
    <row r="351" spans="1:18" x14ac:dyDescent="0.3">
      <c r="A351" s="1" t="s">
        <v>2189</v>
      </c>
      <c r="B351" s="2" t="s">
        <v>2190</v>
      </c>
      <c r="C351" s="2" t="s">
        <v>78</v>
      </c>
      <c r="D351" s="2" t="s">
        <v>2191</v>
      </c>
      <c r="E351" s="2" t="s">
        <v>2192</v>
      </c>
      <c r="F351" s="2"/>
      <c r="G351" s="2" t="s">
        <v>241</v>
      </c>
      <c r="H351" s="2" t="s">
        <v>242</v>
      </c>
      <c r="I351" s="2">
        <v>84112</v>
      </c>
      <c r="J351" s="2" t="s">
        <v>8</v>
      </c>
      <c r="K351" s="2" t="s">
        <v>2193</v>
      </c>
      <c r="L351" s="2">
        <v>8012896488</v>
      </c>
      <c r="M351" s="8" t="s">
        <v>11</v>
      </c>
      <c r="N351" s="2" t="s">
        <v>26</v>
      </c>
      <c r="O351" s="2" t="s">
        <v>26</v>
      </c>
      <c r="P351" s="2" t="s">
        <v>26</v>
      </c>
      <c r="Q351" s="2" t="s">
        <v>26</v>
      </c>
      <c r="R351" s="2" t="s">
        <v>26</v>
      </c>
    </row>
    <row r="352" spans="1:18" x14ac:dyDescent="0.3">
      <c r="A352" s="1" t="s">
        <v>2194</v>
      </c>
      <c r="B352" s="2" t="s">
        <v>744</v>
      </c>
      <c r="C352" s="2" t="s">
        <v>365</v>
      </c>
      <c r="D352" s="2" t="s">
        <v>239</v>
      </c>
      <c r="E352" s="2" t="s">
        <v>2195</v>
      </c>
      <c r="F352" s="2"/>
      <c r="G352" s="2" t="s">
        <v>241</v>
      </c>
      <c r="H352" s="2" t="s">
        <v>242</v>
      </c>
      <c r="I352" s="2" t="s">
        <v>2196</v>
      </c>
      <c r="J352" s="2" t="s">
        <v>8</v>
      </c>
      <c r="K352" s="2" t="s">
        <v>2197</v>
      </c>
      <c r="L352" s="2">
        <v>8014048099</v>
      </c>
      <c r="M352" s="2" t="s">
        <v>26</v>
      </c>
      <c r="N352" s="2" t="s">
        <v>26</v>
      </c>
      <c r="O352" s="2" t="s">
        <v>26</v>
      </c>
      <c r="P352" s="2" t="s">
        <v>26</v>
      </c>
      <c r="Q352" s="2" t="s">
        <v>26</v>
      </c>
      <c r="R352" s="2" t="s">
        <v>26</v>
      </c>
    </row>
    <row r="353" spans="1:18" x14ac:dyDescent="0.3">
      <c r="A353" s="1" t="s">
        <v>2198</v>
      </c>
      <c r="B353" s="2" t="s">
        <v>2199</v>
      </c>
      <c r="C353" s="2" t="s">
        <v>1927</v>
      </c>
      <c r="D353" s="2" t="s">
        <v>103</v>
      </c>
      <c r="E353" s="2" t="s">
        <v>2200</v>
      </c>
      <c r="F353" s="2" t="s">
        <v>2201</v>
      </c>
      <c r="G353" s="2" t="s">
        <v>105</v>
      </c>
      <c r="H353" s="2" t="s">
        <v>74</v>
      </c>
      <c r="I353" s="2">
        <v>1051</v>
      </c>
      <c r="J353" s="2" t="s">
        <v>106</v>
      </c>
      <c r="K353" s="2" t="s">
        <v>2202</v>
      </c>
      <c r="L353" s="2">
        <v>6421890044</v>
      </c>
      <c r="M353" s="2" t="s">
        <v>26</v>
      </c>
      <c r="N353" s="2" t="s">
        <v>26</v>
      </c>
      <c r="O353" s="2" t="s">
        <v>26</v>
      </c>
      <c r="P353" s="2" t="s">
        <v>26</v>
      </c>
      <c r="Q353" s="8" t="s">
        <v>11</v>
      </c>
      <c r="R353" s="2" t="s">
        <v>26</v>
      </c>
    </row>
    <row r="354" spans="1:18" x14ac:dyDescent="0.3">
      <c r="A354" s="1" t="s">
        <v>2203</v>
      </c>
      <c r="B354" s="2" t="s">
        <v>2204</v>
      </c>
      <c r="C354" s="2" t="s">
        <v>2205</v>
      </c>
      <c r="D354" s="2" t="s">
        <v>1870</v>
      </c>
      <c r="E354" s="2" t="s">
        <v>1871</v>
      </c>
      <c r="F354" s="2"/>
      <c r="G354" s="2" t="s">
        <v>1872</v>
      </c>
      <c r="H354" s="2" t="s">
        <v>7</v>
      </c>
      <c r="I354" s="2">
        <v>1440</v>
      </c>
      <c r="J354" s="2" t="s">
        <v>8</v>
      </c>
      <c r="K354" s="2" t="s">
        <v>2206</v>
      </c>
      <c r="L354" s="2" t="s">
        <v>2207</v>
      </c>
      <c r="M354" s="2" t="s">
        <v>26</v>
      </c>
      <c r="N354" s="2" t="s">
        <v>26</v>
      </c>
      <c r="O354" s="2" t="s">
        <v>26</v>
      </c>
      <c r="P354" s="8" t="s">
        <v>11</v>
      </c>
      <c r="Q354" s="2" t="s">
        <v>26</v>
      </c>
      <c r="R354" s="2" t="s">
        <v>26</v>
      </c>
    </row>
    <row r="355" spans="1:18" x14ac:dyDescent="0.3">
      <c r="A355" s="1" t="s">
        <v>2208</v>
      </c>
      <c r="B355" s="2" t="s">
        <v>2209</v>
      </c>
      <c r="C355" s="2" t="s">
        <v>78</v>
      </c>
      <c r="D355" s="2" t="s">
        <v>1389</v>
      </c>
      <c r="E355" s="2" t="s">
        <v>2210</v>
      </c>
      <c r="F355" s="2" t="s">
        <v>2211</v>
      </c>
      <c r="G355" s="2" t="s">
        <v>424</v>
      </c>
      <c r="H355" s="2" t="s">
        <v>17</v>
      </c>
      <c r="I355" s="2">
        <v>92617</v>
      </c>
      <c r="J355" s="2" t="s">
        <v>8</v>
      </c>
      <c r="K355" s="2" t="s">
        <v>2212</v>
      </c>
      <c r="L355" s="2">
        <v>8608796845</v>
      </c>
      <c r="M355" s="8" t="s">
        <v>11</v>
      </c>
      <c r="N355" s="2" t="s">
        <v>26</v>
      </c>
      <c r="O355" s="2" t="s">
        <v>26</v>
      </c>
      <c r="P355" s="2" t="s">
        <v>26</v>
      </c>
      <c r="Q355" s="2" t="s">
        <v>26</v>
      </c>
      <c r="R355" s="2" t="s">
        <v>26</v>
      </c>
    </row>
    <row r="356" spans="1:18" x14ac:dyDescent="0.3">
      <c r="A356" s="1" t="s">
        <v>2213</v>
      </c>
      <c r="B356" s="2" t="s">
        <v>591</v>
      </c>
      <c r="C356" s="2" t="s">
        <v>1133</v>
      </c>
      <c r="D356" s="2" t="s">
        <v>951</v>
      </c>
      <c r="E356" s="2" t="s">
        <v>2214</v>
      </c>
      <c r="F356" s="2"/>
      <c r="G356" s="2" t="s">
        <v>2215</v>
      </c>
      <c r="H356" s="2" t="s">
        <v>489</v>
      </c>
      <c r="I356" s="2">
        <v>19002</v>
      </c>
      <c r="J356" s="2" t="s">
        <v>8</v>
      </c>
      <c r="K356" s="2" t="s">
        <v>2216</v>
      </c>
      <c r="L356" s="2">
        <v>3109167854</v>
      </c>
      <c r="M356" s="2" t="s">
        <v>26</v>
      </c>
      <c r="N356" s="2" t="s">
        <v>26</v>
      </c>
      <c r="O356" s="2" t="s">
        <v>26</v>
      </c>
      <c r="P356" s="8" t="s">
        <v>11</v>
      </c>
      <c r="Q356" s="2" t="s">
        <v>26</v>
      </c>
      <c r="R356" s="2" t="s">
        <v>26</v>
      </c>
    </row>
    <row r="357" spans="1:18" x14ac:dyDescent="0.3">
      <c r="A357" s="1" t="s">
        <v>2217</v>
      </c>
      <c r="B357" s="2" t="s">
        <v>2218</v>
      </c>
      <c r="C357" s="2" t="s">
        <v>78</v>
      </c>
      <c r="D357" s="2" t="s">
        <v>185</v>
      </c>
      <c r="E357" s="2" t="s">
        <v>2219</v>
      </c>
      <c r="F357" s="2"/>
      <c r="G357" s="2" t="s">
        <v>2220</v>
      </c>
      <c r="H357" s="2" t="s">
        <v>7</v>
      </c>
      <c r="I357" s="2">
        <v>2144</v>
      </c>
      <c r="J357" s="2" t="s">
        <v>8</v>
      </c>
      <c r="K357" s="2" t="s">
        <v>2221</v>
      </c>
      <c r="L357" s="2">
        <v>5084098178</v>
      </c>
      <c r="M357" s="8" t="s">
        <v>11</v>
      </c>
      <c r="N357" s="2" t="s">
        <v>26</v>
      </c>
      <c r="O357" s="2" t="s">
        <v>26</v>
      </c>
      <c r="P357" s="2" t="s">
        <v>26</v>
      </c>
      <c r="Q357" s="2" t="s">
        <v>26</v>
      </c>
      <c r="R357" s="2" t="s">
        <v>26</v>
      </c>
    </row>
    <row r="358" spans="1:18" x14ac:dyDescent="0.3">
      <c r="A358" s="1" t="s">
        <v>2222</v>
      </c>
      <c r="B358" s="2" t="s">
        <v>2223</v>
      </c>
      <c r="C358" s="2" t="s">
        <v>253</v>
      </c>
      <c r="D358" s="2" t="s">
        <v>640</v>
      </c>
      <c r="E358" s="2" t="s">
        <v>345</v>
      </c>
      <c r="F358" s="2" t="s">
        <v>2224</v>
      </c>
      <c r="G358" s="2" t="s">
        <v>202</v>
      </c>
      <c r="H358" s="2" t="s">
        <v>203</v>
      </c>
      <c r="I358" s="2">
        <v>55455</v>
      </c>
      <c r="J358" s="2" t="s">
        <v>8</v>
      </c>
      <c r="K358" s="2" t="s">
        <v>2225</v>
      </c>
      <c r="L358" s="2">
        <v>6126240544</v>
      </c>
      <c r="M358" s="2" t="s">
        <v>26</v>
      </c>
      <c r="N358" s="2" t="s">
        <v>26</v>
      </c>
      <c r="O358" s="2" t="s">
        <v>26</v>
      </c>
      <c r="P358" s="2" t="s">
        <v>26</v>
      </c>
      <c r="Q358" s="8" t="s">
        <v>11</v>
      </c>
      <c r="R358" s="2" t="s">
        <v>26</v>
      </c>
    </row>
    <row r="359" spans="1:18" x14ac:dyDescent="0.3">
      <c r="A359" s="1" t="s">
        <v>2222</v>
      </c>
      <c r="B359" s="2" t="s">
        <v>2226</v>
      </c>
      <c r="C359" s="2" t="s">
        <v>2227</v>
      </c>
      <c r="D359" s="2" t="s">
        <v>2228</v>
      </c>
      <c r="E359" s="2" t="s">
        <v>2229</v>
      </c>
      <c r="F359" s="2" t="s">
        <v>2230</v>
      </c>
      <c r="G359" s="2" t="s">
        <v>6</v>
      </c>
      <c r="H359" s="2" t="s">
        <v>74</v>
      </c>
      <c r="I359" s="2" t="s">
        <v>2231</v>
      </c>
      <c r="J359" s="2" t="s">
        <v>258</v>
      </c>
      <c r="K359" s="2" t="s">
        <v>2232</v>
      </c>
      <c r="L359" s="2">
        <v>7789986470</v>
      </c>
      <c r="M359" s="2" t="s">
        <v>26</v>
      </c>
      <c r="N359" s="2" t="s">
        <v>26</v>
      </c>
      <c r="O359" s="2" t="s">
        <v>26</v>
      </c>
      <c r="P359" s="2" t="s">
        <v>26</v>
      </c>
      <c r="Q359" s="2" t="s">
        <v>26</v>
      </c>
      <c r="R359" s="2" t="s">
        <v>26</v>
      </c>
    </row>
    <row r="360" spans="1:18" x14ac:dyDescent="0.3">
      <c r="A360" s="1" t="s">
        <v>2222</v>
      </c>
      <c r="B360" s="2" t="s">
        <v>604</v>
      </c>
      <c r="C360" s="2" t="s">
        <v>2233</v>
      </c>
      <c r="D360" s="2" t="s">
        <v>2234</v>
      </c>
      <c r="E360" s="2" t="s">
        <v>2235</v>
      </c>
      <c r="F360" s="2" t="s">
        <v>2236</v>
      </c>
      <c r="G360" s="2" t="s">
        <v>124</v>
      </c>
      <c r="H360" s="2" t="s">
        <v>125</v>
      </c>
      <c r="I360" s="2">
        <v>60611</v>
      </c>
      <c r="J360" s="2" t="s">
        <v>8</v>
      </c>
      <c r="K360" s="2" t="s">
        <v>2237</v>
      </c>
      <c r="L360" s="2" t="s">
        <v>2238</v>
      </c>
      <c r="M360" s="2" t="s">
        <v>26</v>
      </c>
      <c r="N360" s="2" t="s">
        <v>26</v>
      </c>
      <c r="O360" s="2" t="s">
        <v>26</v>
      </c>
      <c r="P360" s="2" t="s">
        <v>26</v>
      </c>
      <c r="Q360" s="8" t="s">
        <v>11</v>
      </c>
      <c r="R360" s="2" t="s">
        <v>26</v>
      </c>
    </row>
    <row r="361" spans="1:18" x14ac:dyDescent="0.3">
      <c r="A361" s="1" t="s">
        <v>2222</v>
      </c>
      <c r="B361" s="2" t="s">
        <v>2239</v>
      </c>
      <c r="C361" s="2" t="s">
        <v>2003</v>
      </c>
      <c r="D361" s="2" t="s">
        <v>386</v>
      </c>
      <c r="E361" s="2" t="s">
        <v>2240</v>
      </c>
      <c r="F361" s="2"/>
      <c r="G361" s="2" t="s">
        <v>389</v>
      </c>
      <c r="H361" s="2" t="s">
        <v>34</v>
      </c>
      <c r="I361" s="2" t="s">
        <v>2241</v>
      </c>
      <c r="J361" s="2" t="s">
        <v>8</v>
      </c>
      <c r="K361" s="2" t="s">
        <v>2242</v>
      </c>
      <c r="L361" s="2" t="s">
        <v>2243</v>
      </c>
      <c r="M361" s="2" t="s">
        <v>26</v>
      </c>
      <c r="N361" s="2" t="s">
        <v>26</v>
      </c>
      <c r="O361" s="2" t="s">
        <v>26</v>
      </c>
      <c r="P361" s="2" t="s">
        <v>26</v>
      </c>
      <c r="Q361" s="8" t="s">
        <v>11</v>
      </c>
      <c r="R361" s="2" t="s">
        <v>26</v>
      </c>
    </row>
    <row r="362" spans="1:18" x14ac:dyDescent="0.3">
      <c r="A362" s="1" t="s">
        <v>2244</v>
      </c>
      <c r="B362" s="2" t="s">
        <v>2245</v>
      </c>
      <c r="C362" s="2" t="s">
        <v>253</v>
      </c>
      <c r="D362" s="2" t="s">
        <v>879</v>
      </c>
      <c r="E362" s="2" t="s">
        <v>2246</v>
      </c>
      <c r="F362" s="2"/>
      <c r="G362" s="2" t="s">
        <v>881</v>
      </c>
      <c r="H362" s="2" t="s">
        <v>882</v>
      </c>
      <c r="I362" s="2">
        <v>4072</v>
      </c>
      <c r="J362" s="2" t="s">
        <v>476</v>
      </c>
      <c r="K362" s="2" t="s">
        <v>2247</v>
      </c>
      <c r="L362" s="2" t="s">
        <v>2248</v>
      </c>
      <c r="M362" s="2" t="s">
        <v>26</v>
      </c>
      <c r="N362" s="2" t="s">
        <v>26</v>
      </c>
      <c r="O362" s="2" t="s">
        <v>26</v>
      </c>
      <c r="P362" s="2" t="s">
        <v>26</v>
      </c>
      <c r="Q362" s="8" t="s">
        <v>11</v>
      </c>
      <c r="R362" s="2" t="s">
        <v>26</v>
      </c>
    </row>
    <row r="363" spans="1:18" x14ac:dyDescent="0.3">
      <c r="A363" s="1" t="s">
        <v>2249</v>
      </c>
      <c r="B363" s="2" t="s">
        <v>2250</v>
      </c>
      <c r="C363" s="2" t="s">
        <v>544</v>
      </c>
      <c r="D363" s="2" t="s">
        <v>2251</v>
      </c>
      <c r="E363" s="2" t="s">
        <v>2252</v>
      </c>
      <c r="F363" s="2" t="s">
        <v>2253</v>
      </c>
      <c r="G363" s="2" t="s">
        <v>1722</v>
      </c>
      <c r="H363" s="2" t="s">
        <v>1723</v>
      </c>
      <c r="I363" s="2" t="s">
        <v>2253</v>
      </c>
      <c r="J363" s="2" t="s">
        <v>98</v>
      </c>
      <c r="K363" s="2" t="s">
        <v>2254</v>
      </c>
      <c r="L363" s="2">
        <v>4164004311</v>
      </c>
      <c r="M363" s="2" t="s">
        <v>26</v>
      </c>
      <c r="N363" s="2" t="s">
        <v>26</v>
      </c>
      <c r="O363" s="2" t="s">
        <v>26</v>
      </c>
      <c r="P363" s="8" t="s">
        <v>11</v>
      </c>
      <c r="Q363" s="2" t="s">
        <v>26</v>
      </c>
      <c r="R363" s="2" t="s">
        <v>26</v>
      </c>
    </row>
    <row r="364" spans="1:18" x14ac:dyDescent="0.3">
      <c r="A364" s="1" t="s">
        <v>2255</v>
      </c>
      <c r="B364" s="2" t="s">
        <v>2256</v>
      </c>
      <c r="C364" s="2" t="s">
        <v>2257</v>
      </c>
      <c r="D364" s="2" t="s">
        <v>2258</v>
      </c>
      <c r="E364" s="2" t="s">
        <v>2259</v>
      </c>
      <c r="F364" s="2"/>
      <c r="G364" s="2" t="s">
        <v>2260</v>
      </c>
      <c r="H364" s="2" t="s">
        <v>17</v>
      </c>
      <c r="I364" s="2">
        <v>90275</v>
      </c>
      <c r="J364" s="2" t="s">
        <v>8</v>
      </c>
      <c r="K364" s="2" t="s">
        <v>2261</v>
      </c>
      <c r="L364" s="2">
        <v>13109009740</v>
      </c>
      <c r="M364" s="2" t="s">
        <v>26</v>
      </c>
      <c r="N364" s="8" t="s">
        <v>11</v>
      </c>
      <c r="O364" s="2" t="s">
        <v>26</v>
      </c>
      <c r="P364" s="2" t="s">
        <v>26</v>
      </c>
      <c r="Q364" s="2" t="s">
        <v>26</v>
      </c>
      <c r="R364" s="2" t="s">
        <v>26</v>
      </c>
    </row>
    <row r="365" spans="1:18" x14ac:dyDescent="0.3">
      <c r="A365" s="1" t="s">
        <v>2262</v>
      </c>
      <c r="B365" s="2" t="s">
        <v>2263</v>
      </c>
      <c r="C365" s="2" t="s">
        <v>13</v>
      </c>
      <c r="D365" s="2" t="s">
        <v>2264</v>
      </c>
      <c r="E365" s="2" t="s">
        <v>2265</v>
      </c>
      <c r="F365" s="2"/>
      <c r="G365" s="2" t="s">
        <v>1190</v>
      </c>
      <c r="H365" s="2" t="s">
        <v>7</v>
      </c>
      <c r="I365" s="2">
        <v>1801</v>
      </c>
      <c r="J365" s="2" t="s">
        <v>8</v>
      </c>
      <c r="K365" s="2" t="s">
        <v>2266</v>
      </c>
      <c r="L365" s="2" t="s">
        <v>13</v>
      </c>
      <c r="M365" s="2" t="s">
        <v>26</v>
      </c>
      <c r="N365" s="2" t="s">
        <v>26</v>
      </c>
      <c r="O365" s="2" t="s">
        <v>26</v>
      </c>
      <c r="P365" s="8" t="s">
        <v>11</v>
      </c>
      <c r="Q365" s="2" t="s">
        <v>26</v>
      </c>
      <c r="R365" s="2" t="s">
        <v>26</v>
      </c>
    </row>
    <row r="366" spans="1:18" x14ac:dyDescent="0.3">
      <c r="A366" s="1" t="s">
        <v>2262</v>
      </c>
      <c r="B366" s="2" t="s">
        <v>2267</v>
      </c>
      <c r="C366" s="2" t="s">
        <v>13</v>
      </c>
      <c r="D366" s="2" t="s">
        <v>586</v>
      </c>
      <c r="E366" s="2" t="s">
        <v>2268</v>
      </c>
      <c r="F366" s="2"/>
      <c r="G366" s="2" t="s">
        <v>346</v>
      </c>
      <c r="H366" s="2" t="s">
        <v>347</v>
      </c>
      <c r="I366" s="2">
        <v>53711</v>
      </c>
      <c r="J366" s="2" t="s">
        <v>8</v>
      </c>
      <c r="K366" s="2" t="s">
        <v>2269</v>
      </c>
      <c r="L366" s="2" t="s">
        <v>2270</v>
      </c>
      <c r="M366" s="2" t="s">
        <v>26</v>
      </c>
      <c r="N366" s="2" t="s">
        <v>26</v>
      </c>
      <c r="O366" s="2" t="s">
        <v>26</v>
      </c>
      <c r="P366" s="8" t="s">
        <v>11</v>
      </c>
      <c r="Q366" s="2" t="s">
        <v>26</v>
      </c>
      <c r="R366" s="2" t="s">
        <v>26</v>
      </c>
    </row>
    <row r="367" spans="1:18" x14ac:dyDescent="0.3">
      <c r="A367" s="1" t="s">
        <v>2262</v>
      </c>
      <c r="B367" s="2" t="s">
        <v>2271</v>
      </c>
      <c r="C367" s="2" t="s">
        <v>253</v>
      </c>
      <c r="D367" s="2" t="s">
        <v>1018</v>
      </c>
      <c r="E367" s="2" t="s">
        <v>1594</v>
      </c>
      <c r="F367" s="2"/>
      <c r="G367" s="2" t="s">
        <v>1595</v>
      </c>
      <c r="H367" s="2" t="s">
        <v>1022</v>
      </c>
      <c r="I367" s="2">
        <v>6824</v>
      </c>
      <c r="J367" s="2" t="s">
        <v>8</v>
      </c>
      <c r="K367" s="2" t="s">
        <v>2272</v>
      </c>
      <c r="L367" s="2">
        <v>2039085363</v>
      </c>
      <c r="M367" s="2" t="s">
        <v>26</v>
      </c>
      <c r="N367" s="8" t="s">
        <v>11</v>
      </c>
      <c r="O367" s="2" t="s">
        <v>26</v>
      </c>
      <c r="P367" s="2" t="s">
        <v>26</v>
      </c>
      <c r="Q367" s="2" t="s">
        <v>26</v>
      </c>
      <c r="R367" s="2" t="s">
        <v>26</v>
      </c>
    </row>
    <row r="368" spans="1:18" x14ac:dyDescent="0.3">
      <c r="A368" s="1" t="s">
        <v>2262</v>
      </c>
      <c r="B368" s="2" t="s">
        <v>2273</v>
      </c>
      <c r="C368" s="2" t="s">
        <v>1081</v>
      </c>
      <c r="D368" s="2" t="s">
        <v>239</v>
      </c>
      <c r="E368" s="2" t="s">
        <v>2274</v>
      </c>
      <c r="F368" s="2"/>
      <c r="G368" s="2" t="s">
        <v>241</v>
      </c>
      <c r="H368" s="2" t="s">
        <v>242</v>
      </c>
      <c r="I368" s="2">
        <v>84115</v>
      </c>
      <c r="J368" s="2" t="s">
        <v>8</v>
      </c>
      <c r="K368" s="2" t="s">
        <v>2275</v>
      </c>
      <c r="L368" s="2">
        <v>6184028155</v>
      </c>
      <c r="M368" s="8" t="s">
        <v>11</v>
      </c>
      <c r="N368" s="2" t="s">
        <v>26</v>
      </c>
      <c r="O368" s="2" t="s">
        <v>26</v>
      </c>
      <c r="P368" s="2" t="s">
        <v>26</v>
      </c>
      <c r="Q368" s="2" t="s">
        <v>26</v>
      </c>
      <c r="R368" s="2" t="s">
        <v>26</v>
      </c>
    </row>
    <row r="369" spans="1:18" x14ac:dyDescent="0.3">
      <c r="A369" s="1" t="s">
        <v>2262</v>
      </c>
      <c r="B369" s="2" t="s">
        <v>2276</v>
      </c>
      <c r="C369" s="2" t="s">
        <v>2277</v>
      </c>
      <c r="D369" s="2" t="s">
        <v>2278</v>
      </c>
      <c r="E369" s="2" t="s">
        <v>2279</v>
      </c>
      <c r="F369" s="2"/>
      <c r="G369" s="2" t="s">
        <v>2280</v>
      </c>
      <c r="H369" s="2" t="s">
        <v>2281</v>
      </c>
      <c r="I369" s="2">
        <v>3087</v>
      </c>
      <c r="J369" s="2" t="s">
        <v>8</v>
      </c>
      <c r="K369" s="2" t="s">
        <v>2282</v>
      </c>
      <c r="L369" s="2">
        <v>5106049222</v>
      </c>
      <c r="M369" s="2" t="s">
        <v>26</v>
      </c>
      <c r="N369" s="2" t="s">
        <v>26</v>
      </c>
      <c r="O369" s="2" t="s">
        <v>26</v>
      </c>
      <c r="P369" s="8" t="s">
        <v>11</v>
      </c>
      <c r="Q369" s="2" t="s">
        <v>26</v>
      </c>
      <c r="R369" s="2" t="s">
        <v>26</v>
      </c>
    </row>
    <row r="370" spans="1:18" x14ac:dyDescent="0.3">
      <c r="A370" s="1" t="s">
        <v>2283</v>
      </c>
      <c r="B370" s="2" t="s">
        <v>397</v>
      </c>
      <c r="C370" s="2" t="s">
        <v>78</v>
      </c>
      <c r="D370" s="2" t="s">
        <v>865</v>
      </c>
      <c r="E370" s="2" t="s">
        <v>2284</v>
      </c>
      <c r="F370" s="2"/>
      <c r="G370" s="2" t="s">
        <v>867</v>
      </c>
      <c r="H370" s="2" t="s">
        <v>17</v>
      </c>
      <c r="I370" s="2">
        <v>94304</v>
      </c>
      <c r="J370" s="2" t="s">
        <v>8</v>
      </c>
      <c r="K370" s="2" t="s">
        <v>2285</v>
      </c>
      <c r="L370" s="2" t="s">
        <v>2286</v>
      </c>
      <c r="M370" s="2" t="s">
        <v>26</v>
      </c>
      <c r="N370" s="2" t="s">
        <v>26</v>
      </c>
      <c r="O370" s="2" t="s">
        <v>26</v>
      </c>
      <c r="P370" s="2" t="s">
        <v>26</v>
      </c>
      <c r="Q370" s="2" t="s">
        <v>26</v>
      </c>
      <c r="R370" s="8" t="s">
        <v>11</v>
      </c>
    </row>
    <row r="371" spans="1:18" x14ac:dyDescent="0.3">
      <c r="A371" s="1" t="s">
        <v>2283</v>
      </c>
      <c r="B371" s="2" t="s">
        <v>397</v>
      </c>
      <c r="C371" s="2" t="s">
        <v>78</v>
      </c>
      <c r="D371" s="2" t="s">
        <v>865</v>
      </c>
      <c r="E371" s="2" t="s">
        <v>2284</v>
      </c>
      <c r="F371" s="2"/>
      <c r="G371" s="2" t="s">
        <v>867</v>
      </c>
      <c r="H371" s="2" t="s">
        <v>17</v>
      </c>
      <c r="I371" s="2">
        <v>94304</v>
      </c>
      <c r="J371" s="2" t="s">
        <v>8</v>
      </c>
      <c r="K371" s="2" t="s">
        <v>2285</v>
      </c>
      <c r="L371" s="2" t="s">
        <v>2286</v>
      </c>
      <c r="M371" s="2" t="s">
        <v>26</v>
      </c>
      <c r="N371" s="2" t="s">
        <v>26</v>
      </c>
      <c r="O371" s="2" t="s">
        <v>26</v>
      </c>
      <c r="P371" s="2" t="s">
        <v>26</v>
      </c>
      <c r="Q371" s="2" t="s">
        <v>26</v>
      </c>
      <c r="R371" s="2" t="s">
        <v>26</v>
      </c>
    </row>
    <row r="372" spans="1:18" x14ac:dyDescent="0.3">
      <c r="A372" s="1" t="s">
        <v>2283</v>
      </c>
      <c r="B372" s="2" t="s">
        <v>2287</v>
      </c>
      <c r="C372" s="2" t="s">
        <v>385</v>
      </c>
      <c r="D372" s="2" t="s">
        <v>1275</v>
      </c>
      <c r="E372" s="2" t="s">
        <v>2288</v>
      </c>
      <c r="F372" s="2" t="s">
        <v>2289</v>
      </c>
      <c r="G372" s="2" t="s">
        <v>2290</v>
      </c>
      <c r="H372" s="2" t="s">
        <v>74</v>
      </c>
      <c r="I372" s="2" t="s">
        <v>2291</v>
      </c>
      <c r="J372" s="2" t="s">
        <v>417</v>
      </c>
      <c r="K372" s="2" t="s">
        <v>2292</v>
      </c>
      <c r="L372" s="2">
        <f>81-90-4564-9127</f>
        <v>-13700</v>
      </c>
      <c r="M372" s="8" t="s">
        <v>11</v>
      </c>
      <c r="N372" s="2" t="s">
        <v>26</v>
      </c>
      <c r="O372" s="2" t="s">
        <v>26</v>
      </c>
      <c r="P372" s="2" t="s">
        <v>26</v>
      </c>
      <c r="Q372" s="2" t="s">
        <v>26</v>
      </c>
      <c r="R372" s="2" t="s">
        <v>26</v>
      </c>
    </row>
    <row r="373" spans="1:18" x14ac:dyDescent="0.3">
      <c r="A373" s="1" t="s">
        <v>2293</v>
      </c>
      <c r="B373" s="2" t="s">
        <v>2294</v>
      </c>
      <c r="C373" s="2" t="s">
        <v>78</v>
      </c>
      <c r="D373" s="2" t="s">
        <v>824</v>
      </c>
      <c r="E373" s="2" t="s">
        <v>2295</v>
      </c>
      <c r="F373" s="2" t="s">
        <v>2296</v>
      </c>
      <c r="G373" s="2" t="s">
        <v>827</v>
      </c>
      <c r="H373" s="2" t="s">
        <v>828</v>
      </c>
      <c r="I373" s="2">
        <v>37203</v>
      </c>
      <c r="J373" s="2" t="s">
        <v>8</v>
      </c>
      <c r="K373" s="2" t="s">
        <v>2297</v>
      </c>
      <c r="L373" s="2">
        <v>3093633564</v>
      </c>
      <c r="M373" s="8" t="s">
        <v>11</v>
      </c>
      <c r="N373" s="2" t="s">
        <v>26</v>
      </c>
      <c r="O373" s="2" t="s">
        <v>26</v>
      </c>
      <c r="P373" s="2" t="s">
        <v>26</v>
      </c>
      <c r="Q373" s="2" t="s">
        <v>26</v>
      </c>
      <c r="R373" s="2" t="s">
        <v>26</v>
      </c>
    </row>
    <row r="374" spans="1:18" x14ac:dyDescent="0.3">
      <c r="A374" s="1" t="s">
        <v>2298</v>
      </c>
      <c r="B374" s="2" t="s">
        <v>1445</v>
      </c>
      <c r="C374" s="2" t="s">
        <v>2299</v>
      </c>
      <c r="D374" s="2" t="s">
        <v>1446</v>
      </c>
      <c r="E374" s="2" t="s">
        <v>1447</v>
      </c>
      <c r="F374" s="2"/>
      <c r="G374" s="2" t="s">
        <v>1448</v>
      </c>
      <c r="H374" s="2" t="s">
        <v>125</v>
      </c>
      <c r="I374" s="2">
        <v>60191</v>
      </c>
      <c r="J374" s="2" t="s">
        <v>8</v>
      </c>
      <c r="K374" s="2" t="s">
        <v>2300</v>
      </c>
      <c r="L374" s="2">
        <v>6307099749</v>
      </c>
      <c r="M374" s="2" t="s">
        <v>26</v>
      </c>
      <c r="N374" s="2" t="s">
        <v>26</v>
      </c>
      <c r="O374" s="2" t="s">
        <v>26</v>
      </c>
      <c r="P374" s="8" t="s">
        <v>11</v>
      </c>
      <c r="Q374" s="2" t="s">
        <v>26</v>
      </c>
      <c r="R374" s="2" t="s">
        <v>26</v>
      </c>
    </row>
    <row r="375" spans="1:18" x14ac:dyDescent="0.3">
      <c r="A375" s="1" t="s">
        <v>2301</v>
      </c>
      <c r="B375" s="2" t="s">
        <v>2302</v>
      </c>
      <c r="C375" s="2" t="s">
        <v>2303</v>
      </c>
      <c r="D375" s="2" t="s">
        <v>185</v>
      </c>
      <c r="E375" s="2" t="s">
        <v>2304</v>
      </c>
      <c r="F375" s="2"/>
      <c r="G375" s="2" t="s">
        <v>2305</v>
      </c>
      <c r="H375" s="2" t="s">
        <v>7</v>
      </c>
      <c r="I375" s="2">
        <v>1464</v>
      </c>
      <c r="J375" s="2" t="s">
        <v>8</v>
      </c>
      <c r="K375" s="2" t="s">
        <v>2306</v>
      </c>
      <c r="L375" s="2">
        <v>9786755796</v>
      </c>
      <c r="M375" s="8" t="s">
        <v>11</v>
      </c>
      <c r="N375" s="2" t="s">
        <v>26</v>
      </c>
      <c r="O375" s="2" t="s">
        <v>26</v>
      </c>
      <c r="P375" s="2" t="s">
        <v>26</v>
      </c>
      <c r="Q375" s="2" t="s">
        <v>26</v>
      </c>
      <c r="R375" s="2" t="s">
        <v>26</v>
      </c>
    </row>
    <row r="376" spans="1:18" x14ac:dyDescent="0.3">
      <c r="A376" s="1" t="s">
        <v>2307</v>
      </c>
      <c r="B376" s="2" t="s">
        <v>2308</v>
      </c>
      <c r="C376" s="2" t="s">
        <v>2003</v>
      </c>
      <c r="D376" s="2" t="s">
        <v>2309</v>
      </c>
      <c r="E376" s="2" t="s">
        <v>2310</v>
      </c>
      <c r="F376" s="2" t="s">
        <v>2311</v>
      </c>
      <c r="G376" s="2" t="s">
        <v>2312</v>
      </c>
      <c r="H376" s="2" t="s">
        <v>489</v>
      </c>
      <c r="I376" s="2">
        <v>18042</v>
      </c>
      <c r="J376" s="2" t="s">
        <v>8</v>
      </c>
      <c r="K376" s="2" t="s">
        <v>2313</v>
      </c>
      <c r="L376" s="2" t="s">
        <v>2314</v>
      </c>
      <c r="M376" s="2" t="s">
        <v>26</v>
      </c>
      <c r="N376" s="2" t="s">
        <v>26</v>
      </c>
      <c r="O376" s="2" t="s">
        <v>26</v>
      </c>
      <c r="P376" s="8" t="s">
        <v>11</v>
      </c>
      <c r="Q376" s="2" t="s">
        <v>26</v>
      </c>
      <c r="R376" s="2" t="s">
        <v>26</v>
      </c>
    </row>
    <row r="377" spans="1:18" x14ac:dyDescent="0.3">
      <c r="A377" s="1" t="s">
        <v>2307</v>
      </c>
      <c r="B377" s="2" t="s">
        <v>2315</v>
      </c>
      <c r="C377" s="2" t="s">
        <v>29</v>
      </c>
      <c r="D377" s="2" t="s">
        <v>2316</v>
      </c>
      <c r="E377" s="2" t="s">
        <v>2317</v>
      </c>
      <c r="F377" s="2" t="s">
        <v>2318</v>
      </c>
      <c r="G377" s="2" t="s">
        <v>2319</v>
      </c>
      <c r="H377" s="2" t="s">
        <v>17</v>
      </c>
      <c r="I377" s="2">
        <v>95053</v>
      </c>
      <c r="J377" s="2" t="s">
        <v>8</v>
      </c>
      <c r="K377" s="2" t="s">
        <v>2320</v>
      </c>
      <c r="L377" s="2">
        <v>4085511878</v>
      </c>
      <c r="M377" s="2" t="s">
        <v>26</v>
      </c>
      <c r="N377" s="8" t="s">
        <v>11</v>
      </c>
      <c r="O377" s="2" t="s">
        <v>26</v>
      </c>
      <c r="P377" s="2" t="s">
        <v>26</v>
      </c>
      <c r="Q377" s="2" t="s">
        <v>26</v>
      </c>
      <c r="R377" s="2" t="s">
        <v>26</v>
      </c>
    </row>
    <row r="378" spans="1:18" x14ac:dyDescent="0.3">
      <c r="A378" s="1" t="s">
        <v>2307</v>
      </c>
      <c r="B378" s="2" t="s">
        <v>1676</v>
      </c>
      <c r="C378" s="2" t="s">
        <v>2321</v>
      </c>
      <c r="D378" s="2" t="s">
        <v>832</v>
      </c>
      <c r="E378" s="2" t="s">
        <v>833</v>
      </c>
      <c r="F378" s="2"/>
      <c r="G378" s="2" t="s">
        <v>834</v>
      </c>
      <c r="H378" s="2" t="s">
        <v>403</v>
      </c>
      <c r="I378" s="2">
        <v>28104</v>
      </c>
      <c r="J378" s="2" t="s">
        <v>8</v>
      </c>
      <c r="K378" s="2" t="s">
        <v>2322</v>
      </c>
      <c r="L378" s="2" t="s">
        <v>836</v>
      </c>
      <c r="M378" s="2" t="s">
        <v>26</v>
      </c>
      <c r="N378" s="2" t="s">
        <v>26</v>
      </c>
      <c r="O378" s="2" t="s">
        <v>26</v>
      </c>
      <c r="P378" s="8" t="s">
        <v>11</v>
      </c>
      <c r="Q378" s="2" t="s">
        <v>26</v>
      </c>
      <c r="R378" s="2" t="s">
        <v>26</v>
      </c>
    </row>
    <row r="379" spans="1:18" x14ac:dyDescent="0.3">
      <c r="A379" s="1" t="s">
        <v>2307</v>
      </c>
      <c r="B379" s="2" t="s">
        <v>2323</v>
      </c>
      <c r="C379" s="2" t="s">
        <v>280</v>
      </c>
      <c r="D379" s="2" t="s">
        <v>372</v>
      </c>
      <c r="E379" s="2" t="s">
        <v>373</v>
      </c>
      <c r="F379" s="2"/>
      <c r="G379" s="2" t="s">
        <v>374</v>
      </c>
      <c r="H379" s="2" t="s">
        <v>17</v>
      </c>
      <c r="I379" s="2">
        <v>92831</v>
      </c>
      <c r="J379" s="2" t="s">
        <v>8</v>
      </c>
      <c r="K379" s="2" t="s">
        <v>2324</v>
      </c>
      <c r="L379" s="2">
        <v>6572784256</v>
      </c>
      <c r="M379" s="2" t="s">
        <v>26</v>
      </c>
      <c r="N379" s="2" t="s">
        <v>26</v>
      </c>
      <c r="O379" s="2" t="s">
        <v>26</v>
      </c>
      <c r="P379" s="2" t="s">
        <v>26</v>
      </c>
      <c r="Q379" s="8" t="s">
        <v>11</v>
      </c>
      <c r="R379" s="2" t="s">
        <v>26</v>
      </c>
    </row>
    <row r="380" spans="1:18" x14ac:dyDescent="0.3">
      <c r="A380" s="1" t="s">
        <v>2307</v>
      </c>
      <c r="B380" s="2" t="s">
        <v>2325</v>
      </c>
      <c r="C380" s="2" t="s">
        <v>61</v>
      </c>
      <c r="D380" s="2" t="s">
        <v>1711</v>
      </c>
      <c r="E380" s="2" t="s">
        <v>1712</v>
      </c>
      <c r="F380" s="2"/>
      <c r="G380" s="2" t="s">
        <v>1713</v>
      </c>
      <c r="H380" s="2" t="s">
        <v>1714</v>
      </c>
      <c r="I380" s="2">
        <v>29424</v>
      </c>
      <c r="J380" s="2" t="s">
        <v>8</v>
      </c>
      <c r="K380" s="2" t="s">
        <v>2326</v>
      </c>
      <c r="L380" s="2">
        <v>8439538099</v>
      </c>
      <c r="M380" s="2" t="s">
        <v>26</v>
      </c>
      <c r="N380" s="8" t="s">
        <v>11</v>
      </c>
      <c r="O380" s="2" t="s">
        <v>26</v>
      </c>
      <c r="P380" s="2" t="s">
        <v>26</v>
      </c>
      <c r="Q380" s="2" t="s">
        <v>26</v>
      </c>
      <c r="R380" s="2" t="s">
        <v>26</v>
      </c>
    </row>
    <row r="381" spans="1:18" x14ac:dyDescent="0.3">
      <c r="A381" s="1" t="s">
        <v>2307</v>
      </c>
      <c r="B381" s="2" t="s">
        <v>2327</v>
      </c>
      <c r="C381" s="2" t="s">
        <v>2328</v>
      </c>
      <c r="D381" s="2" t="s">
        <v>435</v>
      </c>
      <c r="E381" s="2" t="s">
        <v>436</v>
      </c>
      <c r="F381" s="2"/>
      <c r="G381" s="2" t="s">
        <v>437</v>
      </c>
      <c r="H381" s="2" t="s">
        <v>17</v>
      </c>
      <c r="I381" s="2">
        <v>95035</v>
      </c>
      <c r="J381" s="2" t="s">
        <v>8</v>
      </c>
      <c r="K381" s="2" t="s">
        <v>2329</v>
      </c>
      <c r="L381" s="2" t="s">
        <v>439</v>
      </c>
      <c r="M381" s="2" t="s">
        <v>26</v>
      </c>
      <c r="N381" s="2" t="s">
        <v>26</v>
      </c>
      <c r="O381" s="2" t="s">
        <v>26</v>
      </c>
      <c r="P381" s="8" t="s">
        <v>11</v>
      </c>
      <c r="Q381" s="2" t="s">
        <v>26</v>
      </c>
      <c r="R381" s="2" t="s">
        <v>26</v>
      </c>
    </row>
    <row r="382" spans="1:18" x14ac:dyDescent="0.3">
      <c r="A382" s="1" t="s">
        <v>2307</v>
      </c>
      <c r="B382" s="2" t="s">
        <v>2330</v>
      </c>
      <c r="C382" s="2" t="s">
        <v>2331</v>
      </c>
      <c r="D382" s="2" t="s">
        <v>307</v>
      </c>
      <c r="E382" s="2" t="s">
        <v>2332</v>
      </c>
      <c r="F382" s="2"/>
      <c r="G382" s="2" t="s">
        <v>310</v>
      </c>
      <c r="H382" s="2" t="s">
        <v>34</v>
      </c>
      <c r="I382" s="2">
        <v>46285</v>
      </c>
      <c r="J382" s="2" t="s">
        <v>8</v>
      </c>
      <c r="K382" s="2" t="s">
        <v>2333</v>
      </c>
      <c r="L382" s="2">
        <v>14632028096</v>
      </c>
      <c r="M382" s="2" t="s">
        <v>26</v>
      </c>
      <c r="N382" s="2" t="s">
        <v>26</v>
      </c>
      <c r="O382" s="2" t="s">
        <v>26</v>
      </c>
      <c r="P382" s="8" t="s">
        <v>11</v>
      </c>
      <c r="Q382" s="2" t="s">
        <v>26</v>
      </c>
      <c r="R382" s="2" t="s">
        <v>26</v>
      </c>
    </row>
    <row r="383" spans="1:18" x14ac:dyDescent="0.3">
      <c r="A383" s="1" t="s">
        <v>2307</v>
      </c>
      <c r="B383" s="2" t="s">
        <v>1508</v>
      </c>
      <c r="C383" s="2" t="s">
        <v>2334</v>
      </c>
      <c r="D383" s="2" t="s">
        <v>2335</v>
      </c>
      <c r="E383" s="2" t="s">
        <v>2336</v>
      </c>
      <c r="F383" s="2" t="s">
        <v>2337</v>
      </c>
      <c r="G383" s="2" t="s">
        <v>361</v>
      </c>
      <c r="H383" s="2" t="s">
        <v>17</v>
      </c>
      <c r="I383" s="2">
        <v>91101</v>
      </c>
      <c r="J383" s="2" t="s">
        <v>8</v>
      </c>
      <c r="K383" s="2" t="s">
        <v>2338</v>
      </c>
      <c r="L383" s="2">
        <v>6268276703</v>
      </c>
      <c r="M383" s="2" t="s">
        <v>26</v>
      </c>
      <c r="N383" s="2" t="s">
        <v>26</v>
      </c>
      <c r="O383" s="2" t="s">
        <v>26</v>
      </c>
      <c r="P383" s="8" t="s">
        <v>11</v>
      </c>
      <c r="Q383" s="2" t="s">
        <v>26</v>
      </c>
      <c r="R383" s="2" t="s">
        <v>26</v>
      </c>
    </row>
    <row r="384" spans="1:18" x14ac:dyDescent="0.3">
      <c r="A384" s="1" t="s">
        <v>2307</v>
      </c>
      <c r="B384" s="2" t="s">
        <v>2339</v>
      </c>
      <c r="C384" s="2" t="s">
        <v>280</v>
      </c>
      <c r="D384" s="2" t="s">
        <v>2340</v>
      </c>
      <c r="E384" s="2" t="s">
        <v>2341</v>
      </c>
      <c r="F384" s="2"/>
      <c r="G384" s="2" t="s">
        <v>133</v>
      </c>
      <c r="H384" s="2" t="s">
        <v>134</v>
      </c>
      <c r="I384" s="2">
        <v>85721</v>
      </c>
      <c r="J384" s="2" t="s">
        <v>8</v>
      </c>
      <c r="K384" s="2" t="s">
        <v>2342</v>
      </c>
      <c r="L384" s="2" t="s">
        <v>2343</v>
      </c>
      <c r="M384" s="2" t="s">
        <v>26</v>
      </c>
      <c r="N384" s="2" t="s">
        <v>26</v>
      </c>
      <c r="O384" s="2" t="s">
        <v>26</v>
      </c>
      <c r="P384" s="2" t="s">
        <v>26</v>
      </c>
      <c r="Q384" s="8" t="s">
        <v>11</v>
      </c>
      <c r="R384" s="2" t="s">
        <v>26</v>
      </c>
    </row>
    <row r="385" spans="1:18" x14ac:dyDescent="0.3">
      <c r="A385" s="1" t="s">
        <v>2344</v>
      </c>
      <c r="B385" s="2" t="s">
        <v>2345</v>
      </c>
      <c r="C385" s="2" t="s">
        <v>13</v>
      </c>
      <c r="D385" s="2" t="s">
        <v>2346</v>
      </c>
      <c r="E385" s="2" t="s">
        <v>2347</v>
      </c>
      <c r="F385" s="2"/>
      <c r="G385" s="2" t="s">
        <v>2155</v>
      </c>
      <c r="H385" s="2" t="s">
        <v>7</v>
      </c>
      <c r="I385" s="2">
        <v>2115</v>
      </c>
      <c r="J385" s="2" t="s">
        <v>8</v>
      </c>
      <c r="K385" s="2" t="s">
        <v>2348</v>
      </c>
      <c r="L385" s="2">
        <v>9093740500</v>
      </c>
      <c r="M385" s="2" t="s">
        <v>26</v>
      </c>
      <c r="N385" s="2" t="s">
        <v>26</v>
      </c>
      <c r="O385" s="2" t="s">
        <v>26</v>
      </c>
      <c r="P385" s="8" t="s">
        <v>11</v>
      </c>
      <c r="Q385" s="2" t="s">
        <v>26</v>
      </c>
      <c r="R385" s="2" t="s">
        <v>26</v>
      </c>
    </row>
    <row r="386" spans="1:18" x14ac:dyDescent="0.3">
      <c r="A386" s="1" t="s">
        <v>2349</v>
      </c>
      <c r="B386" s="2" t="s">
        <v>2350</v>
      </c>
      <c r="C386" s="2" t="s">
        <v>544</v>
      </c>
      <c r="D386" s="2" t="s">
        <v>1744</v>
      </c>
      <c r="E386" s="2" t="s">
        <v>2351</v>
      </c>
      <c r="F386" s="2" t="s">
        <v>1746</v>
      </c>
      <c r="G386" s="2" t="s">
        <v>1747</v>
      </c>
      <c r="H386" s="2" t="s">
        <v>17</v>
      </c>
      <c r="I386" s="2">
        <v>95060</v>
      </c>
      <c r="J386" s="2" t="s">
        <v>8</v>
      </c>
      <c r="K386" s="2" t="s">
        <v>2352</v>
      </c>
      <c r="L386" s="2" t="s">
        <v>2353</v>
      </c>
      <c r="M386" s="2" t="s">
        <v>26</v>
      </c>
      <c r="N386" s="2" t="s">
        <v>26</v>
      </c>
      <c r="O386" s="2" t="s">
        <v>26</v>
      </c>
      <c r="P386" s="8" t="s">
        <v>11</v>
      </c>
      <c r="Q386" s="2" t="s">
        <v>26</v>
      </c>
      <c r="R386" s="2" t="s">
        <v>26</v>
      </c>
    </row>
    <row r="387" spans="1:18" x14ac:dyDescent="0.3">
      <c r="A387" s="1" t="s">
        <v>2354</v>
      </c>
      <c r="B387" s="2" t="s">
        <v>2355</v>
      </c>
      <c r="C387" s="2" t="s">
        <v>253</v>
      </c>
      <c r="D387" s="2" t="s">
        <v>2356</v>
      </c>
      <c r="E387" s="2" t="s">
        <v>2357</v>
      </c>
      <c r="F387" s="2" t="s">
        <v>2358</v>
      </c>
      <c r="G387" s="2" t="s">
        <v>717</v>
      </c>
      <c r="H387" s="2" t="s">
        <v>17</v>
      </c>
      <c r="I387" s="2">
        <v>94143</v>
      </c>
      <c r="J387" s="2" t="s">
        <v>8</v>
      </c>
      <c r="K387" s="2" t="s">
        <v>2359</v>
      </c>
      <c r="L387" s="2" t="s">
        <v>2360</v>
      </c>
      <c r="M387" s="2" t="s">
        <v>26</v>
      </c>
      <c r="N387" s="2" t="s">
        <v>26</v>
      </c>
      <c r="O387" s="2" t="s">
        <v>26</v>
      </c>
      <c r="P387" s="2" t="s">
        <v>26</v>
      </c>
      <c r="Q387" s="8" t="s">
        <v>11</v>
      </c>
      <c r="R387" s="2" t="s">
        <v>26</v>
      </c>
    </row>
    <row r="388" spans="1:18" x14ac:dyDescent="0.3">
      <c r="A388" s="1" t="s">
        <v>2361</v>
      </c>
      <c r="B388" s="2" t="s">
        <v>2362</v>
      </c>
      <c r="C388" s="2" t="s">
        <v>551</v>
      </c>
      <c r="D388" s="2" t="s">
        <v>2363</v>
      </c>
      <c r="E388" s="2" t="s">
        <v>2364</v>
      </c>
      <c r="F388" s="2"/>
      <c r="G388" s="2" t="s">
        <v>149</v>
      </c>
      <c r="H388" s="2" t="s">
        <v>17</v>
      </c>
      <c r="I388" s="2">
        <v>90501</v>
      </c>
      <c r="J388" s="2" t="s">
        <v>8</v>
      </c>
      <c r="K388" s="2" t="s">
        <v>2365</v>
      </c>
      <c r="L388" s="2">
        <v>9166161094</v>
      </c>
      <c r="M388" s="2" t="s">
        <v>26</v>
      </c>
      <c r="N388" s="2" t="s">
        <v>26</v>
      </c>
      <c r="O388" s="2" t="s">
        <v>26</v>
      </c>
      <c r="P388" s="8" t="s">
        <v>11</v>
      </c>
      <c r="Q388" s="2" t="s">
        <v>26</v>
      </c>
      <c r="R388" s="2" t="s">
        <v>26</v>
      </c>
    </row>
    <row r="389" spans="1:18" x14ac:dyDescent="0.3">
      <c r="A389" s="1" t="s">
        <v>2366</v>
      </c>
      <c r="B389" s="2" t="s">
        <v>470</v>
      </c>
      <c r="C389" s="2" t="s">
        <v>2367</v>
      </c>
      <c r="D389" s="2" t="s">
        <v>2368</v>
      </c>
      <c r="E389" s="2" t="s">
        <v>2369</v>
      </c>
      <c r="F389" s="2"/>
      <c r="G389" s="2" t="s">
        <v>16</v>
      </c>
      <c r="H389" s="2" t="s">
        <v>17</v>
      </c>
      <c r="I389" s="2">
        <v>92122</v>
      </c>
      <c r="J389" s="2" t="s">
        <v>8</v>
      </c>
      <c r="K389" s="2" t="s">
        <v>2370</v>
      </c>
      <c r="L389" s="2">
        <v>8582302370</v>
      </c>
      <c r="M389" s="8" t="s">
        <v>11</v>
      </c>
      <c r="N389" s="2" t="s">
        <v>26</v>
      </c>
      <c r="O389" s="2" t="s">
        <v>26</v>
      </c>
      <c r="P389" s="2" t="s">
        <v>26</v>
      </c>
      <c r="Q389" s="2" t="s">
        <v>26</v>
      </c>
      <c r="R389" s="2" t="s">
        <v>26</v>
      </c>
    </row>
    <row r="390" spans="1:18" x14ac:dyDescent="0.3">
      <c r="A390" s="1" t="s">
        <v>2371</v>
      </c>
      <c r="B390" s="2" t="s">
        <v>1508</v>
      </c>
      <c r="C390" s="2" t="s">
        <v>78</v>
      </c>
      <c r="D390" s="2" t="s">
        <v>2372</v>
      </c>
      <c r="E390" s="2" t="s">
        <v>2373</v>
      </c>
      <c r="F390" s="2"/>
      <c r="G390" s="2" t="s">
        <v>1183</v>
      </c>
      <c r="H390" s="2" t="s">
        <v>195</v>
      </c>
      <c r="I390" s="2">
        <v>10025</v>
      </c>
      <c r="J390" s="2" t="s">
        <v>8</v>
      </c>
      <c r="K390" s="2" t="s">
        <v>2374</v>
      </c>
      <c r="L390" s="2">
        <v>5087688841</v>
      </c>
      <c r="M390" s="8" t="s">
        <v>11</v>
      </c>
      <c r="N390" s="2" t="s">
        <v>26</v>
      </c>
      <c r="O390" s="2" t="s">
        <v>26</v>
      </c>
      <c r="P390" s="2" t="s">
        <v>26</v>
      </c>
      <c r="Q390" s="2" t="s">
        <v>26</v>
      </c>
      <c r="R390" s="2" t="s">
        <v>26</v>
      </c>
    </row>
    <row r="391" spans="1:18" x14ac:dyDescent="0.3">
      <c r="A391" s="1" t="s">
        <v>2375</v>
      </c>
      <c r="B391" s="2" t="s">
        <v>2376</v>
      </c>
      <c r="C391" s="2" t="s">
        <v>385</v>
      </c>
      <c r="D391" s="2" t="s">
        <v>1612</v>
      </c>
      <c r="E391" s="2" t="s">
        <v>2377</v>
      </c>
      <c r="F391" s="2" t="s">
        <v>2378</v>
      </c>
      <c r="G391" s="2" t="s">
        <v>1614</v>
      </c>
      <c r="H391" s="2" t="s">
        <v>74</v>
      </c>
      <c r="I391" s="2">
        <v>61005</v>
      </c>
      <c r="J391" s="2" t="s">
        <v>1346</v>
      </c>
      <c r="K391" s="2" t="s">
        <v>2379</v>
      </c>
      <c r="L391" s="2">
        <v>1045644285</v>
      </c>
      <c r="M391" s="8" t="s">
        <v>11</v>
      </c>
      <c r="N391" s="2" t="s">
        <v>26</v>
      </c>
      <c r="O391" s="2" t="s">
        <v>26</v>
      </c>
      <c r="P391" s="2" t="s">
        <v>26</v>
      </c>
      <c r="Q391" s="2" t="s">
        <v>26</v>
      </c>
      <c r="R391" s="2" t="s">
        <v>26</v>
      </c>
    </row>
    <row r="392" spans="1:18" x14ac:dyDescent="0.3">
      <c r="A392" s="1" t="s">
        <v>2380</v>
      </c>
      <c r="B392" s="2" t="s">
        <v>2381</v>
      </c>
      <c r="C392" s="2" t="s">
        <v>2382</v>
      </c>
      <c r="D392" s="2" t="s">
        <v>2383</v>
      </c>
      <c r="E392" s="2" t="s">
        <v>2384</v>
      </c>
      <c r="F392" s="2" t="s">
        <v>2385</v>
      </c>
      <c r="G392" s="2" t="s">
        <v>558</v>
      </c>
      <c r="H392" s="2" t="s">
        <v>559</v>
      </c>
      <c r="I392" s="2">
        <v>50011</v>
      </c>
      <c r="J392" s="2" t="s">
        <v>8</v>
      </c>
      <c r="K392" s="2" t="s">
        <v>2386</v>
      </c>
      <c r="L392" s="2">
        <v>5152911554</v>
      </c>
      <c r="M392" s="8" t="s">
        <v>11</v>
      </c>
      <c r="N392" s="2" t="s">
        <v>26</v>
      </c>
      <c r="O392" s="2" t="s">
        <v>26</v>
      </c>
      <c r="P392" s="2" t="s">
        <v>26</v>
      </c>
      <c r="Q392" s="2" t="s">
        <v>26</v>
      </c>
      <c r="R392" s="2" t="s">
        <v>26</v>
      </c>
    </row>
    <row r="393" spans="1:18" x14ac:dyDescent="0.3">
      <c r="A393" s="1" t="s">
        <v>2387</v>
      </c>
      <c r="B393" s="2" t="s">
        <v>2388</v>
      </c>
      <c r="C393" s="2" t="s">
        <v>2389</v>
      </c>
      <c r="D393" s="2" t="s">
        <v>2390</v>
      </c>
      <c r="E393" s="2" t="s">
        <v>2391</v>
      </c>
      <c r="F393" s="2"/>
      <c r="G393" s="2" t="s">
        <v>2392</v>
      </c>
      <c r="H393" s="2" t="s">
        <v>74</v>
      </c>
      <c r="I393" s="2">
        <v>2340000</v>
      </c>
      <c r="J393" s="2" t="s">
        <v>86</v>
      </c>
      <c r="K393" s="2" t="s">
        <v>2393</v>
      </c>
      <c r="L393" s="2">
        <v>56992753668</v>
      </c>
      <c r="M393" s="8" t="s">
        <v>11</v>
      </c>
      <c r="N393" s="2" t="s">
        <v>26</v>
      </c>
      <c r="O393" s="2" t="s">
        <v>26</v>
      </c>
      <c r="P393" s="2" t="s">
        <v>26</v>
      </c>
      <c r="Q393" s="2" t="s">
        <v>26</v>
      </c>
      <c r="R393" s="2" t="s">
        <v>26</v>
      </c>
    </row>
    <row r="394" spans="1:18" x14ac:dyDescent="0.3">
      <c r="A394" s="1" t="s">
        <v>2394</v>
      </c>
      <c r="B394" s="2" t="s">
        <v>2395</v>
      </c>
      <c r="C394" s="2" t="s">
        <v>280</v>
      </c>
      <c r="D394" s="2" t="s">
        <v>2396</v>
      </c>
      <c r="E394" s="2" t="s">
        <v>2397</v>
      </c>
      <c r="F394" s="2"/>
      <c r="G394" s="2" t="s">
        <v>2398</v>
      </c>
      <c r="H394" s="2" t="s">
        <v>74</v>
      </c>
      <c r="I394" s="2">
        <v>6997801</v>
      </c>
      <c r="J394" s="2" t="s">
        <v>967</v>
      </c>
      <c r="K394" s="2" t="s">
        <v>2399</v>
      </c>
      <c r="L394" s="2">
        <v>972528823206</v>
      </c>
      <c r="M394" s="2" t="s">
        <v>26</v>
      </c>
      <c r="N394" s="2" t="s">
        <v>26</v>
      </c>
      <c r="O394" s="2" t="s">
        <v>26</v>
      </c>
      <c r="P394" s="2" t="s">
        <v>26</v>
      </c>
      <c r="Q394" s="8" t="s">
        <v>11</v>
      </c>
      <c r="R394" s="2" t="s">
        <v>26</v>
      </c>
    </row>
    <row r="395" spans="1:18" x14ac:dyDescent="0.3">
      <c r="A395" s="1" t="s">
        <v>2400</v>
      </c>
      <c r="B395" s="2" t="s">
        <v>2401</v>
      </c>
      <c r="C395" s="2" t="s">
        <v>238</v>
      </c>
      <c r="D395" s="2" t="s">
        <v>2402</v>
      </c>
      <c r="E395" s="2" t="s">
        <v>2403</v>
      </c>
      <c r="F395" s="2"/>
      <c r="G395" s="2" t="s">
        <v>2404</v>
      </c>
      <c r="H395" s="2" t="s">
        <v>74</v>
      </c>
      <c r="I395" s="2">
        <v>1311502</v>
      </c>
      <c r="J395" s="2" t="s">
        <v>967</v>
      </c>
      <c r="K395" s="2" t="s">
        <v>2405</v>
      </c>
      <c r="L395" s="2">
        <v>552451435</v>
      </c>
      <c r="M395" s="2" t="s">
        <v>26</v>
      </c>
      <c r="N395" s="2" t="s">
        <v>26</v>
      </c>
      <c r="O395" s="2" t="s">
        <v>26</v>
      </c>
      <c r="P395" s="2" t="s">
        <v>26</v>
      </c>
      <c r="Q395" s="2" t="s">
        <v>26</v>
      </c>
      <c r="R395" s="2" t="s">
        <v>26</v>
      </c>
    </row>
    <row r="396" spans="1:18" x14ac:dyDescent="0.3">
      <c r="A396" s="1" t="s">
        <v>2406</v>
      </c>
      <c r="B396" s="2" t="s">
        <v>2407</v>
      </c>
      <c r="C396" s="2" t="s">
        <v>544</v>
      </c>
      <c r="D396" s="2" t="s">
        <v>2408</v>
      </c>
      <c r="E396" s="2" t="s">
        <v>2409</v>
      </c>
      <c r="F396" s="2"/>
      <c r="G396" s="2" t="s">
        <v>1329</v>
      </c>
      <c r="H396" s="2" t="s">
        <v>7</v>
      </c>
      <c r="I396" s="2">
        <v>2155</v>
      </c>
      <c r="J396" s="2" t="s">
        <v>8</v>
      </c>
      <c r="K396" s="2" t="s">
        <v>2410</v>
      </c>
      <c r="L396" s="2" t="s">
        <v>2411</v>
      </c>
      <c r="M396" s="2" t="s">
        <v>26</v>
      </c>
      <c r="N396" s="2" t="s">
        <v>26</v>
      </c>
      <c r="O396" s="2" t="s">
        <v>26</v>
      </c>
      <c r="P396" s="8" t="s">
        <v>11</v>
      </c>
      <c r="Q396" s="2" t="s">
        <v>26</v>
      </c>
      <c r="R396" s="2" t="s">
        <v>26</v>
      </c>
    </row>
    <row r="397" spans="1:18" x14ac:dyDescent="0.3">
      <c r="A397" s="1" t="s">
        <v>2412</v>
      </c>
      <c r="B397" s="2" t="s">
        <v>2413</v>
      </c>
      <c r="C397" s="2" t="s">
        <v>70</v>
      </c>
      <c r="D397" s="2" t="s">
        <v>2414</v>
      </c>
      <c r="E397" s="2" t="s">
        <v>2415</v>
      </c>
      <c r="F397" s="2"/>
      <c r="G397" s="2" t="s">
        <v>2416</v>
      </c>
      <c r="H397" s="2" t="s">
        <v>1486</v>
      </c>
      <c r="I397" s="2" t="s">
        <v>2417</v>
      </c>
      <c r="J397" s="2" t="s">
        <v>8</v>
      </c>
      <c r="K397" s="2" t="s">
        <v>2418</v>
      </c>
      <c r="L397" s="2">
        <v>9702949276</v>
      </c>
      <c r="M397" s="2" t="s">
        <v>26</v>
      </c>
      <c r="N397" s="2" t="s">
        <v>26</v>
      </c>
      <c r="O397" s="2" t="s">
        <v>26</v>
      </c>
      <c r="P397" s="8" t="s">
        <v>11</v>
      </c>
      <c r="Q397" s="2" t="s">
        <v>26</v>
      </c>
      <c r="R397" s="2" t="s">
        <v>26</v>
      </c>
    </row>
    <row r="398" spans="1:18" x14ac:dyDescent="0.3">
      <c r="A398" s="1" t="s">
        <v>2419</v>
      </c>
      <c r="B398" s="2" t="s">
        <v>2420</v>
      </c>
      <c r="C398" s="2" t="s">
        <v>102</v>
      </c>
      <c r="D398" s="2" t="s">
        <v>2421</v>
      </c>
      <c r="E398" s="2" t="s">
        <v>2422</v>
      </c>
      <c r="F398" s="2"/>
      <c r="G398" s="2" t="s">
        <v>2423</v>
      </c>
      <c r="H398" s="2" t="s">
        <v>74</v>
      </c>
      <c r="I398" s="2">
        <v>50996</v>
      </c>
      <c r="J398" s="2" t="s">
        <v>235</v>
      </c>
      <c r="K398" s="2" t="s">
        <v>2424</v>
      </c>
      <c r="L398" s="2">
        <f>49223696947-0</f>
        <v>49223696947</v>
      </c>
      <c r="M398" s="2" t="s">
        <v>26</v>
      </c>
      <c r="N398" s="2" t="s">
        <v>26</v>
      </c>
      <c r="O398" s="2" t="s">
        <v>26</v>
      </c>
      <c r="P398" s="8" t="s">
        <v>11</v>
      </c>
      <c r="Q398" s="2" t="s">
        <v>26</v>
      </c>
      <c r="R398" s="2" t="s">
        <v>26</v>
      </c>
    </row>
    <row r="399" spans="1:18" x14ac:dyDescent="0.3">
      <c r="A399" s="1" t="s">
        <v>2425</v>
      </c>
      <c r="B399" s="2" t="s">
        <v>2426</v>
      </c>
      <c r="C399" s="2" t="s">
        <v>329</v>
      </c>
      <c r="D399" s="2" t="s">
        <v>2427</v>
      </c>
      <c r="E399" s="2" t="s">
        <v>2428</v>
      </c>
      <c r="F399" s="2"/>
      <c r="G399" s="2" t="s">
        <v>2429</v>
      </c>
      <c r="H399" s="2" t="s">
        <v>74</v>
      </c>
      <c r="I399" s="2" t="s">
        <v>2430</v>
      </c>
      <c r="J399" s="2" t="s">
        <v>417</v>
      </c>
      <c r="K399" s="2" t="s">
        <v>2431</v>
      </c>
      <c r="L399" s="2">
        <f>81-70-2474-2939</f>
        <v>-5402</v>
      </c>
      <c r="M399" s="2" t="s">
        <v>26</v>
      </c>
      <c r="N399" s="2" t="s">
        <v>26</v>
      </c>
      <c r="O399" s="2" t="s">
        <v>26</v>
      </c>
      <c r="P399" s="8" t="s">
        <v>11</v>
      </c>
      <c r="Q399" s="2" t="s">
        <v>26</v>
      </c>
      <c r="R399" s="2" t="s">
        <v>26</v>
      </c>
    </row>
    <row r="400" spans="1:18" x14ac:dyDescent="0.3">
      <c r="A400" s="1" t="s">
        <v>2432</v>
      </c>
      <c r="B400" s="2" t="s">
        <v>2433</v>
      </c>
      <c r="C400" s="2" t="s">
        <v>2434</v>
      </c>
      <c r="D400" s="2" t="s">
        <v>30</v>
      </c>
      <c r="E400" s="2" t="s">
        <v>2435</v>
      </c>
      <c r="F400" s="2"/>
      <c r="G400" s="2" t="s">
        <v>1350</v>
      </c>
      <c r="H400" s="2" t="s">
        <v>34</v>
      </c>
      <c r="I400" s="2">
        <v>46637</v>
      </c>
      <c r="J400" s="2" t="s">
        <v>8</v>
      </c>
      <c r="K400" s="2" t="s">
        <v>2436</v>
      </c>
      <c r="L400" s="2">
        <v>5743975768</v>
      </c>
      <c r="M400" s="8" t="s">
        <v>11</v>
      </c>
      <c r="N400" s="2" t="s">
        <v>26</v>
      </c>
      <c r="O400" s="2" t="s">
        <v>26</v>
      </c>
      <c r="P400" s="2" t="s">
        <v>26</v>
      </c>
      <c r="Q400" s="2" t="s">
        <v>26</v>
      </c>
      <c r="R400" s="2" t="s">
        <v>26</v>
      </c>
    </row>
    <row r="401" spans="1:18" x14ac:dyDescent="0.3">
      <c r="A401" s="1" t="s">
        <v>2437</v>
      </c>
      <c r="B401" s="2" t="s">
        <v>2438</v>
      </c>
      <c r="C401" s="2" t="s">
        <v>2439</v>
      </c>
      <c r="D401" s="2" t="s">
        <v>481</v>
      </c>
      <c r="E401" s="2" t="s">
        <v>777</v>
      </c>
      <c r="F401" s="2"/>
      <c r="G401" s="2" t="s">
        <v>483</v>
      </c>
      <c r="H401" s="2" t="s">
        <v>17</v>
      </c>
      <c r="I401" s="2">
        <v>94080</v>
      </c>
      <c r="J401" s="2" t="s">
        <v>8</v>
      </c>
      <c r="K401" s="2" t="s">
        <v>2440</v>
      </c>
      <c r="L401" s="2">
        <v>6502969184</v>
      </c>
      <c r="M401" s="2" t="s">
        <v>26</v>
      </c>
      <c r="N401" s="2" t="s">
        <v>26</v>
      </c>
      <c r="O401" s="2" t="s">
        <v>26</v>
      </c>
      <c r="P401" s="8" t="s">
        <v>11</v>
      </c>
      <c r="Q401" s="2" t="s">
        <v>26</v>
      </c>
      <c r="R401" s="2" t="s">
        <v>26</v>
      </c>
    </row>
    <row r="402" spans="1:18" x14ac:dyDescent="0.3">
      <c r="A402" s="1" t="s">
        <v>2441</v>
      </c>
      <c r="B402" s="2" t="s">
        <v>2442</v>
      </c>
      <c r="C402" s="2" t="s">
        <v>2443</v>
      </c>
      <c r="D402" s="2" t="s">
        <v>832</v>
      </c>
      <c r="E402" s="2" t="s">
        <v>1729</v>
      </c>
      <c r="F402" s="2"/>
      <c r="G402" s="2" t="s">
        <v>834</v>
      </c>
      <c r="H402" s="2" t="s">
        <v>403</v>
      </c>
      <c r="I402" s="2" t="s">
        <v>1730</v>
      </c>
      <c r="J402" s="2" t="s">
        <v>8</v>
      </c>
      <c r="K402" s="2" t="s">
        <v>2444</v>
      </c>
      <c r="L402" s="2" t="s">
        <v>836</v>
      </c>
      <c r="M402" s="2" t="s">
        <v>26</v>
      </c>
      <c r="N402" s="2" t="s">
        <v>26</v>
      </c>
      <c r="O402" s="2" t="s">
        <v>26</v>
      </c>
      <c r="P402" s="8" t="s">
        <v>11</v>
      </c>
      <c r="Q402" s="2" t="s">
        <v>26</v>
      </c>
      <c r="R402" s="2" t="s">
        <v>26</v>
      </c>
    </row>
    <row r="403" spans="1:18" x14ac:dyDescent="0.3">
      <c r="A403" s="1" t="s">
        <v>2445</v>
      </c>
      <c r="B403" s="2" t="s">
        <v>2446</v>
      </c>
      <c r="C403" s="2" t="s">
        <v>78</v>
      </c>
      <c r="D403" s="2" t="s">
        <v>2447</v>
      </c>
      <c r="E403" s="2" t="s">
        <v>2448</v>
      </c>
      <c r="F403" s="2"/>
      <c r="G403" s="2" t="s">
        <v>2449</v>
      </c>
      <c r="H403" s="2" t="s">
        <v>2450</v>
      </c>
      <c r="I403" s="2" t="s">
        <v>2451</v>
      </c>
      <c r="J403" s="2" t="s">
        <v>98</v>
      </c>
      <c r="K403" s="2" t="s">
        <v>2452</v>
      </c>
      <c r="L403" s="2">
        <v>7789186777</v>
      </c>
      <c r="M403" s="8" t="s">
        <v>11</v>
      </c>
      <c r="N403" s="2" t="s">
        <v>26</v>
      </c>
      <c r="O403" s="2" t="s">
        <v>26</v>
      </c>
      <c r="P403" s="2" t="s">
        <v>26</v>
      </c>
      <c r="Q403" s="2" t="s">
        <v>26</v>
      </c>
      <c r="R403" s="2" t="s">
        <v>26</v>
      </c>
    </row>
    <row r="404" spans="1:18" x14ac:dyDescent="0.3">
      <c r="A404" s="1" t="s">
        <v>2453</v>
      </c>
      <c r="B404" s="2" t="s">
        <v>2454</v>
      </c>
      <c r="C404" s="2" t="s">
        <v>280</v>
      </c>
      <c r="D404" s="2" t="s">
        <v>366</v>
      </c>
      <c r="E404" s="2" t="s">
        <v>2455</v>
      </c>
      <c r="F404" s="2"/>
      <c r="G404" s="2" t="s">
        <v>1056</v>
      </c>
      <c r="H404" s="2" t="s">
        <v>195</v>
      </c>
      <c r="I404" s="2">
        <v>10458</v>
      </c>
      <c r="J404" s="2" t="s">
        <v>8</v>
      </c>
      <c r="K404" s="2" t="s">
        <v>2456</v>
      </c>
      <c r="L404" s="2">
        <v>7188174461</v>
      </c>
      <c r="M404" s="2" t="s">
        <v>26</v>
      </c>
      <c r="N404" s="8" t="s">
        <v>11</v>
      </c>
      <c r="O404" s="2" t="s">
        <v>26</v>
      </c>
      <c r="P404" s="2" t="s">
        <v>26</v>
      </c>
      <c r="Q404" s="2" t="s">
        <v>26</v>
      </c>
      <c r="R404" s="2" t="s">
        <v>26</v>
      </c>
    </row>
    <row r="405" spans="1:18" x14ac:dyDescent="0.3">
      <c r="A405" s="1" t="s">
        <v>2457</v>
      </c>
      <c r="B405" s="2" t="s">
        <v>2458</v>
      </c>
      <c r="C405" s="2" t="s">
        <v>29</v>
      </c>
      <c r="D405" s="2" t="s">
        <v>2459</v>
      </c>
      <c r="E405" s="2" t="s">
        <v>2460</v>
      </c>
      <c r="F405" s="2"/>
      <c r="G405" s="2" t="s">
        <v>2461</v>
      </c>
      <c r="H405" s="2" t="s">
        <v>74</v>
      </c>
      <c r="I405" s="2">
        <v>80131</v>
      </c>
      <c r="J405" s="2" t="s">
        <v>325</v>
      </c>
      <c r="K405" s="2" t="s">
        <v>2462</v>
      </c>
      <c r="L405" s="2">
        <v>3482528742</v>
      </c>
      <c r="M405" s="2" t="s">
        <v>26</v>
      </c>
      <c r="N405" s="2" t="s">
        <v>26</v>
      </c>
      <c r="O405" s="8" t="s">
        <v>11</v>
      </c>
      <c r="P405" s="2" t="s">
        <v>26</v>
      </c>
      <c r="Q405" s="2" t="s">
        <v>26</v>
      </c>
      <c r="R405" s="2" t="s">
        <v>26</v>
      </c>
    </row>
    <row r="406" spans="1:18" x14ac:dyDescent="0.3">
      <c r="A406" s="1" t="s">
        <v>2463</v>
      </c>
      <c r="B406" s="2" t="s">
        <v>2464</v>
      </c>
      <c r="C406" s="2" t="s">
        <v>544</v>
      </c>
      <c r="D406" s="2" t="s">
        <v>1657</v>
      </c>
      <c r="E406" s="2" t="s">
        <v>2347</v>
      </c>
      <c r="F406" s="2" t="s">
        <v>2465</v>
      </c>
      <c r="G406" s="2" t="s">
        <v>2155</v>
      </c>
      <c r="H406" s="2" t="s">
        <v>7</v>
      </c>
      <c r="I406" s="2">
        <v>2115</v>
      </c>
      <c r="J406" s="2" t="s">
        <v>8</v>
      </c>
      <c r="K406" s="2" t="s">
        <v>2466</v>
      </c>
      <c r="L406" s="2" t="s">
        <v>2467</v>
      </c>
      <c r="M406" s="2" t="s">
        <v>26</v>
      </c>
      <c r="N406" s="2" t="s">
        <v>26</v>
      </c>
      <c r="O406" s="2" t="s">
        <v>26</v>
      </c>
      <c r="P406" s="8" t="s">
        <v>11</v>
      </c>
      <c r="Q406" s="2" t="s">
        <v>26</v>
      </c>
      <c r="R406" s="2" t="s">
        <v>26</v>
      </c>
    </row>
    <row r="407" spans="1:18" x14ac:dyDescent="0.3">
      <c r="A407" s="1" t="s">
        <v>2468</v>
      </c>
      <c r="B407" s="2" t="s">
        <v>1993</v>
      </c>
      <c r="C407" s="2" t="s">
        <v>244</v>
      </c>
      <c r="D407" s="2" t="s">
        <v>372</v>
      </c>
      <c r="E407" s="2" t="s">
        <v>373</v>
      </c>
      <c r="F407" s="2"/>
      <c r="G407" s="2" t="s">
        <v>374</v>
      </c>
      <c r="H407" s="2" t="s">
        <v>17</v>
      </c>
      <c r="I407" s="2">
        <v>92831</v>
      </c>
      <c r="J407" s="2" t="s">
        <v>8</v>
      </c>
      <c r="K407" s="2" t="s">
        <v>2469</v>
      </c>
      <c r="L407" s="2">
        <v>6572784256</v>
      </c>
      <c r="M407" s="2" t="s">
        <v>26</v>
      </c>
      <c r="N407" s="2" t="s">
        <v>26</v>
      </c>
      <c r="O407" s="2" t="s">
        <v>26</v>
      </c>
      <c r="P407" s="2" t="s">
        <v>26</v>
      </c>
      <c r="Q407" s="2" t="s">
        <v>26</v>
      </c>
      <c r="R407" s="8" t="s">
        <v>11</v>
      </c>
    </row>
    <row r="408" spans="1:18" x14ac:dyDescent="0.3">
      <c r="A408" s="1" t="s">
        <v>2470</v>
      </c>
      <c r="B408" s="2" t="s">
        <v>2471</v>
      </c>
      <c r="C408" s="2" t="s">
        <v>78</v>
      </c>
      <c r="D408" s="2" t="s">
        <v>2472</v>
      </c>
      <c r="E408" s="2" t="s">
        <v>2473</v>
      </c>
      <c r="F408" s="2"/>
      <c r="G408" s="2" t="s">
        <v>361</v>
      </c>
      <c r="H408" s="2" t="s">
        <v>17</v>
      </c>
      <c r="I408" s="2">
        <v>91107</v>
      </c>
      <c r="J408" s="2" t="s">
        <v>8</v>
      </c>
      <c r="K408" s="2" t="s">
        <v>2474</v>
      </c>
      <c r="L408" s="2">
        <v>6268647474</v>
      </c>
      <c r="M408" s="8" t="s">
        <v>11</v>
      </c>
      <c r="N408" s="2" t="s">
        <v>26</v>
      </c>
      <c r="O408" s="2" t="s">
        <v>26</v>
      </c>
      <c r="P408" s="2" t="s">
        <v>26</v>
      </c>
      <c r="Q408" s="2" t="s">
        <v>26</v>
      </c>
      <c r="R408" s="2" t="s">
        <v>26</v>
      </c>
    </row>
    <row r="409" spans="1:18" x14ac:dyDescent="0.3">
      <c r="A409" s="1" t="s">
        <v>2475</v>
      </c>
      <c r="B409" s="2" t="s">
        <v>2476</v>
      </c>
      <c r="C409" s="2" t="s">
        <v>680</v>
      </c>
      <c r="D409" s="2" t="s">
        <v>2477</v>
      </c>
      <c r="E409" s="2" t="s">
        <v>2478</v>
      </c>
      <c r="F409" s="2"/>
      <c r="G409" s="2" t="s">
        <v>2479</v>
      </c>
      <c r="H409" s="2" t="s">
        <v>250</v>
      </c>
      <c r="I409" s="2">
        <v>75042</v>
      </c>
      <c r="J409" s="2" t="s">
        <v>8</v>
      </c>
      <c r="K409" s="2" t="s">
        <v>2480</v>
      </c>
      <c r="L409" s="2">
        <v>2142984557</v>
      </c>
      <c r="M409" s="2" t="s">
        <v>26</v>
      </c>
      <c r="N409" s="2" t="s">
        <v>26</v>
      </c>
      <c r="O409" s="2" t="s">
        <v>26</v>
      </c>
      <c r="P409" s="8" t="s">
        <v>11</v>
      </c>
      <c r="Q409" s="2" t="s">
        <v>26</v>
      </c>
      <c r="R409" s="2" t="s">
        <v>26</v>
      </c>
    </row>
    <row r="410" spans="1:18" x14ac:dyDescent="0.3">
      <c r="A410" s="1" t="s">
        <v>2481</v>
      </c>
      <c r="B410" s="2" t="s">
        <v>2482</v>
      </c>
      <c r="C410" s="2" t="s">
        <v>191</v>
      </c>
      <c r="D410" s="2" t="s">
        <v>2483</v>
      </c>
      <c r="E410" s="2" t="s">
        <v>2484</v>
      </c>
      <c r="F410" s="2"/>
      <c r="G410" s="2" t="s">
        <v>1126</v>
      </c>
      <c r="H410" s="2" t="s">
        <v>74</v>
      </c>
      <c r="I410" s="2">
        <v>91052</v>
      </c>
      <c r="J410" s="2" t="s">
        <v>235</v>
      </c>
      <c r="K410" s="2" t="s">
        <v>2485</v>
      </c>
      <c r="L410" s="2">
        <v>4915757181245</v>
      </c>
      <c r="M410" s="8" t="s">
        <v>11</v>
      </c>
      <c r="N410" s="2" t="s">
        <v>26</v>
      </c>
      <c r="O410" s="2" t="s">
        <v>26</v>
      </c>
      <c r="P410" s="2" t="s">
        <v>26</v>
      </c>
      <c r="Q410" s="2" t="s">
        <v>26</v>
      </c>
      <c r="R410" s="2" t="s">
        <v>26</v>
      </c>
    </row>
    <row r="411" spans="1:18" x14ac:dyDescent="0.3">
      <c r="A411" s="1" t="s">
        <v>2486</v>
      </c>
      <c r="B411" s="2" t="s">
        <v>2487</v>
      </c>
      <c r="C411" s="2" t="s">
        <v>680</v>
      </c>
      <c r="D411" s="2" t="s">
        <v>2488</v>
      </c>
      <c r="E411" s="2" t="s">
        <v>2489</v>
      </c>
      <c r="F411" s="2"/>
      <c r="G411" s="2" t="s">
        <v>2490</v>
      </c>
      <c r="H411" s="2" t="s">
        <v>51</v>
      </c>
      <c r="I411" s="2">
        <v>20854</v>
      </c>
      <c r="J411" s="2" t="s">
        <v>8</v>
      </c>
      <c r="K411" s="2" t="s">
        <v>2491</v>
      </c>
      <c r="L411" s="2">
        <v>2403505279</v>
      </c>
      <c r="M411" s="2" t="s">
        <v>26</v>
      </c>
      <c r="N411" s="2" t="s">
        <v>26</v>
      </c>
      <c r="O411" s="2" t="s">
        <v>26</v>
      </c>
      <c r="P411" s="2" t="s">
        <v>26</v>
      </c>
      <c r="Q411" s="2" t="s">
        <v>26</v>
      </c>
      <c r="R411" s="2" t="s">
        <v>26</v>
      </c>
    </row>
    <row r="412" spans="1:18" x14ac:dyDescent="0.3">
      <c r="A412" s="1" t="s">
        <v>2492</v>
      </c>
      <c r="B412" s="2" t="s">
        <v>2493</v>
      </c>
      <c r="C412" s="2" t="s">
        <v>29</v>
      </c>
      <c r="D412" s="2" t="s">
        <v>2402</v>
      </c>
      <c r="E412" s="2" t="s">
        <v>2494</v>
      </c>
      <c r="F412" s="2"/>
      <c r="G412" s="2" t="s">
        <v>2404</v>
      </c>
      <c r="H412" s="2" t="s">
        <v>74</v>
      </c>
      <c r="I412" s="2">
        <v>1311502</v>
      </c>
      <c r="J412" s="2" t="s">
        <v>967</v>
      </c>
      <c r="K412" s="2" t="s">
        <v>2495</v>
      </c>
      <c r="L412" s="2">
        <v>972722644849</v>
      </c>
      <c r="M412" s="2" t="s">
        <v>26</v>
      </c>
      <c r="N412" s="2" t="s">
        <v>26</v>
      </c>
      <c r="O412" s="2" t="s">
        <v>26</v>
      </c>
      <c r="P412" s="2" t="s">
        <v>26</v>
      </c>
      <c r="Q412" s="8" t="s">
        <v>11</v>
      </c>
      <c r="R412" s="2" t="s">
        <v>26</v>
      </c>
    </row>
    <row r="413" spans="1:18" x14ac:dyDescent="0.3">
      <c r="A413" s="1" t="s">
        <v>2496</v>
      </c>
      <c r="B413" s="2" t="s">
        <v>2497</v>
      </c>
      <c r="C413" s="2" t="s">
        <v>2498</v>
      </c>
      <c r="D413" s="2" t="s">
        <v>2499</v>
      </c>
      <c r="E413" s="2" t="s">
        <v>2500</v>
      </c>
      <c r="F413" s="2" t="s">
        <v>2501</v>
      </c>
      <c r="G413" s="2" t="s">
        <v>2502</v>
      </c>
      <c r="H413" s="2" t="s">
        <v>74</v>
      </c>
      <c r="I413" s="2">
        <v>560012</v>
      </c>
      <c r="J413" s="2" t="s">
        <v>36</v>
      </c>
      <c r="K413" s="2" t="s">
        <v>2503</v>
      </c>
      <c r="L413" s="2" t="s">
        <v>2504</v>
      </c>
      <c r="M413" s="8" t="s">
        <v>11</v>
      </c>
      <c r="N413" s="2" t="s">
        <v>26</v>
      </c>
      <c r="O413" s="2" t="s">
        <v>26</v>
      </c>
      <c r="P413" s="2" t="s">
        <v>26</v>
      </c>
      <c r="Q413" s="2" t="s">
        <v>26</v>
      </c>
      <c r="R413" s="2" t="s">
        <v>26</v>
      </c>
    </row>
    <row r="414" spans="1:18" x14ac:dyDescent="0.3">
      <c r="A414" s="1" t="s">
        <v>2505</v>
      </c>
      <c r="B414" s="2" t="s">
        <v>2506</v>
      </c>
      <c r="C414" s="2" t="s">
        <v>2507</v>
      </c>
      <c r="D414" s="2" t="s">
        <v>2508</v>
      </c>
      <c r="E414" s="2" t="s">
        <v>2509</v>
      </c>
      <c r="F414" s="2"/>
      <c r="G414" s="2" t="s">
        <v>2510</v>
      </c>
      <c r="H414" s="2" t="s">
        <v>17</v>
      </c>
      <c r="I414" s="2">
        <v>95037</v>
      </c>
      <c r="J414" s="2" t="s">
        <v>8</v>
      </c>
      <c r="K414" s="2" t="s">
        <v>2511</v>
      </c>
      <c r="L414" s="2">
        <v>9036060849</v>
      </c>
      <c r="M414" s="2" t="s">
        <v>26</v>
      </c>
      <c r="N414" s="2" t="s">
        <v>26</v>
      </c>
      <c r="O414" s="2" t="s">
        <v>26</v>
      </c>
      <c r="P414" s="8" t="s">
        <v>11</v>
      </c>
      <c r="Q414" s="2" t="s">
        <v>26</v>
      </c>
      <c r="R414" s="2" t="s">
        <v>26</v>
      </c>
    </row>
    <row r="415" spans="1:18" x14ac:dyDescent="0.3">
      <c r="A415" s="1" t="s">
        <v>2512</v>
      </c>
      <c r="B415" s="2" t="s">
        <v>2512</v>
      </c>
      <c r="C415" s="2"/>
      <c r="D415" s="2" t="s">
        <v>2508</v>
      </c>
      <c r="E415" s="2" t="s">
        <v>2509</v>
      </c>
      <c r="F415" s="2"/>
      <c r="G415" s="2" t="s">
        <v>2510</v>
      </c>
      <c r="H415" s="2" t="s">
        <v>17</v>
      </c>
      <c r="I415" s="2">
        <v>95037</v>
      </c>
      <c r="J415" s="2" t="s">
        <v>8</v>
      </c>
      <c r="K415" s="2" t="s">
        <v>2513</v>
      </c>
      <c r="L415" s="2">
        <v>4156963816</v>
      </c>
      <c r="M415" s="2" t="s">
        <v>26</v>
      </c>
      <c r="N415" s="2" t="s">
        <v>26</v>
      </c>
      <c r="O415" s="2" t="s">
        <v>26</v>
      </c>
      <c r="P415" s="8" t="s">
        <v>11</v>
      </c>
      <c r="Q415" s="2" t="s">
        <v>26</v>
      </c>
      <c r="R415" s="2" t="s">
        <v>26</v>
      </c>
    </row>
    <row r="416" spans="1:18" x14ac:dyDescent="0.3">
      <c r="A416" s="1" t="s">
        <v>2514</v>
      </c>
      <c r="B416" s="2" t="s">
        <v>1445</v>
      </c>
      <c r="C416" s="2" t="s">
        <v>2515</v>
      </c>
      <c r="D416" s="2" t="s">
        <v>1446</v>
      </c>
      <c r="E416" s="2" t="s">
        <v>1447</v>
      </c>
      <c r="F416" s="2"/>
      <c r="G416" s="2" t="s">
        <v>1448</v>
      </c>
      <c r="H416" s="2" t="s">
        <v>125</v>
      </c>
      <c r="I416" s="2">
        <v>60191</v>
      </c>
      <c r="J416" s="2" t="s">
        <v>8</v>
      </c>
      <c r="K416" s="2" t="s">
        <v>2516</v>
      </c>
      <c r="L416" s="2">
        <v>6308026566</v>
      </c>
      <c r="M416" s="2" t="s">
        <v>26</v>
      </c>
      <c r="N416" s="2" t="s">
        <v>26</v>
      </c>
      <c r="O416" s="2" t="s">
        <v>26</v>
      </c>
      <c r="P416" s="8" t="s">
        <v>11</v>
      </c>
      <c r="Q416" s="2" t="s">
        <v>26</v>
      </c>
      <c r="R416" s="2" t="s">
        <v>26</v>
      </c>
    </row>
    <row r="417" spans="1:18" x14ac:dyDescent="0.3">
      <c r="A417" s="1" t="s">
        <v>2517</v>
      </c>
      <c r="B417" s="2" t="s">
        <v>2518</v>
      </c>
      <c r="C417" s="2" t="s">
        <v>78</v>
      </c>
      <c r="D417" s="2" t="s">
        <v>2519</v>
      </c>
      <c r="E417" s="2" t="s">
        <v>2520</v>
      </c>
      <c r="F417" s="2"/>
      <c r="G417" s="2" t="s">
        <v>1532</v>
      </c>
      <c r="H417" s="2" t="s">
        <v>1533</v>
      </c>
      <c r="I417" s="2">
        <v>19702</v>
      </c>
      <c r="J417" s="2" t="s">
        <v>8</v>
      </c>
      <c r="K417" s="2" t="s">
        <v>2521</v>
      </c>
      <c r="L417" s="2">
        <v>6092225395</v>
      </c>
      <c r="M417" s="8" t="s">
        <v>11</v>
      </c>
      <c r="N417" s="2" t="s">
        <v>26</v>
      </c>
      <c r="O417" s="2" t="s">
        <v>26</v>
      </c>
      <c r="P417" s="2" t="s">
        <v>26</v>
      </c>
      <c r="Q417" s="2" t="s">
        <v>26</v>
      </c>
      <c r="R417" s="2" t="s">
        <v>26</v>
      </c>
    </row>
    <row r="418" spans="1:18" x14ac:dyDescent="0.3">
      <c r="A418" s="1" t="s">
        <v>2517</v>
      </c>
      <c r="B418" s="2" t="s">
        <v>2522</v>
      </c>
      <c r="C418" s="2" t="s">
        <v>2523</v>
      </c>
      <c r="D418" s="2" t="s">
        <v>756</v>
      </c>
      <c r="E418" s="2" t="s">
        <v>1102</v>
      </c>
      <c r="F418" s="2"/>
      <c r="G418" s="2" t="s">
        <v>149</v>
      </c>
      <c r="H418" s="2" t="s">
        <v>17</v>
      </c>
      <c r="I418" s="2">
        <v>90505</v>
      </c>
      <c r="J418" s="2" t="s">
        <v>8</v>
      </c>
      <c r="K418" s="2" t="s">
        <v>2524</v>
      </c>
      <c r="L418" s="2" t="s">
        <v>2525</v>
      </c>
      <c r="M418" s="2" t="s">
        <v>26</v>
      </c>
      <c r="N418" s="2" t="s">
        <v>26</v>
      </c>
      <c r="O418" s="2" t="s">
        <v>26</v>
      </c>
      <c r="P418" s="8" t="s">
        <v>11</v>
      </c>
      <c r="Q418" s="2" t="s">
        <v>26</v>
      </c>
      <c r="R418" s="2" t="s">
        <v>26</v>
      </c>
    </row>
    <row r="419" spans="1:18" x14ac:dyDescent="0.3">
      <c r="A419" s="1" t="s">
        <v>2526</v>
      </c>
      <c r="B419" s="2" t="s">
        <v>2527</v>
      </c>
      <c r="C419" s="2" t="s">
        <v>1145</v>
      </c>
      <c r="D419" s="2" t="s">
        <v>2528</v>
      </c>
      <c r="E419" s="2" t="s">
        <v>2529</v>
      </c>
      <c r="F419" s="2" t="s">
        <v>2530</v>
      </c>
      <c r="G419" s="2" t="s">
        <v>179</v>
      </c>
      <c r="H419" s="2" t="s">
        <v>180</v>
      </c>
      <c r="I419" s="2">
        <v>68512</v>
      </c>
      <c r="J419" s="2" t="s">
        <v>8</v>
      </c>
      <c r="K419" s="2" t="s">
        <v>2531</v>
      </c>
      <c r="L419" s="2">
        <v>6028218137</v>
      </c>
      <c r="M419" s="8" t="s">
        <v>11</v>
      </c>
      <c r="N419" s="2" t="s">
        <v>26</v>
      </c>
      <c r="O419" s="2" t="s">
        <v>26</v>
      </c>
      <c r="P419" s="2" t="s">
        <v>26</v>
      </c>
      <c r="Q419" s="2" t="s">
        <v>26</v>
      </c>
      <c r="R419" s="2" t="s">
        <v>26</v>
      </c>
    </row>
    <row r="420" spans="1:18" x14ac:dyDescent="0.3">
      <c r="A420" s="1" t="s">
        <v>2532</v>
      </c>
      <c r="B420" s="2" t="s">
        <v>2533</v>
      </c>
      <c r="C420" s="2" t="s">
        <v>1578</v>
      </c>
      <c r="D420" s="2" t="s">
        <v>2534</v>
      </c>
      <c r="E420" s="2" t="s">
        <v>2535</v>
      </c>
      <c r="F420" s="2"/>
      <c r="G420" s="2" t="s">
        <v>2536</v>
      </c>
      <c r="H420" s="2" t="s">
        <v>264</v>
      </c>
      <c r="I420" s="2">
        <v>97403</v>
      </c>
      <c r="J420" s="2" t="s">
        <v>8</v>
      </c>
      <c r="K420" s="2" t="s">
        <v>2537</v>
      </c>
      <c r="L420" s="2">
        <v>4582626458</v>
      </c>
      <c r="M420" s="8" t="s">
        <v>11</v>
      </c>
      <c r="N420" s="2" t="s">
        <v>26</v>
      </c>
      <c r="O420" s="2" t="s">
        <v>26</v>
      </c>
      <c r="P420" s="2" t="s">
        <v>26</v>
      </c>
      <c r="Q420" s="2" t="s">
        <v>26</v>
      </c>
      <c r="R420" s="2" t="s">
        <v>26</v>
      </c>
    </row>
    <row r="421" spans="1:18" x14ac:dyDescent="0.3">
      <c r="A421" s="1" t="s">
        <v>2538</v>
      </c>
      <c r="B421" s="2" t="s">
        <v>2539</v>
      </c>
      <c r="C421" s="2" t="s">
        <v>253</v>
      </c>
      <c r="D421" s="2" t="s">
        <v>2540</v>
      </c>
      <c r="E421" s="2" t="s">
        <v>2541</v>
      </c>
      <c r="F421" s="2"/>
      <c r="G421" s="2" t="s">
        <v>966</v>
      </c>
      <c r="H421" s="2" t="s">
        <v>74</v>
      </c>
      <c r="I421" s="2">
        <v>91904</v>
      </c>
      <c r="J421" s="2" t="s">
        <v>967</v>
      </c>
      <c r="K421" s="2" t="s">
        <v>2542</v>
      </c>
      <c r="L421" s="2">
        <f>972-52-4336637</f>
        <v>-4335717</v>
      </c>
      <c r="M421" s="2" t="s">
        <v>26</v>
      </c>
      <c r="N421" s="2" t="s">
        <v>26</v>
      </c>
      <c r="O421" s="2" t="s">
        <v>26</v>
      </c>
      <c r="P421" s="2" t="s">
        <v>26</v>
      </c>
      <c r="Q421" s="8" t="s">
        <v>11</v>
      </c>
      <c r="R421" s="2" t="s">
        <v>26</v>
      </c>
    </row>
    <row r="422" spans="1:18" x14ac:dyDescent="0.3">
      <c r="A422" s="1" t="s">
        <v>2543</v>
      </c>
      <c r="B422" s="2" t="s">
        <v>2544</v>
      </c>
      <c r="C422" s="2" t="s">
        <v>342</v>
      </c>
      <c r="D422" s="2" t="s">
        <v>192</v>
      </c>
      <c r="E422" s="2" t="s">
        <v>2545</v>
      </c>
      <c r="F422" s="2" t="s">
        <v>2546</v>
      </c>
      <c r="G422" s="2" t="s">
        <v>929</v>
      </c>
      <c r="H422" s="2" t="s">
        <v>195</v>
      </c>
      <c r="I422" s="2">
        <v>12237</v>
      </c>
      <c r="J422" s="2" t="s">
        <v>8</v>
      </c>
      <c r="K422" s="2" t="s">
        <v>2547</v>
      </c>
      <c r="L422" s="2">
        <v>4065811846</v>
      </c>
      <c r="M422" s="2" t="s">
        <v>26</v>
      </c>
      <c r="N422" s="2" t="s">
        <v>26</v>
      </c>
      <c r="O422" s="8" t="s">
        <v>11</v>
      </c>
      <c r="P422" s="2" t="s">
        <v>26</v>
      </c>
      <c r="Q422" s="2" t="s">
        <v>26</v>
      </c>
      <c r="R422" s="2" t="s">
        <v>26</v>
      </c>
    </row>
    <row r="423" spans="1:18" x14ac:dyDescent="0.3">
      <c r="A423" s="1" t="s">
        <v>2548</v>
      </c>
      <c r="B423" s="2" t="s">
        <v>2549</v>
      </c>
      <c r="C423" s="2" t="s">
        <v>2550</v>
      </c>
      <c r="D423" s="2" t="s">
        <v>756</v>
      </c>
      <c r="E423" s="2" t="s">
        <v>757</v>
      </c>
      <c r="F423" s="2"/>
      <c r="G423" s="2" t="s">
        <v>149</v>
      </c>
      <c r="H423" s="2" t="s">
        <v>17</v>
      </c>
      <c r="I423" s="2">
        <v>90505</v>
      </c>
      <c r="J423" s="2" t="s">
        <v>8</v>
      </c>
      <c r="K423" s="2" t="s">
        <v>2551</v>
      </c>
      <c r="L423" s="2" t="s">
        <v>2552</v>
      </c>
      <c r="M423" s="2" t="s">
        <v>26</v>
      </c>
      <c r="N423" s="2" t="s">
        <v>26</v>
      </c>
      <c r="O423" s="2" t="s">
        <v>26</v>
      </c>
      <c r="P423" s="8" t="s">
        <v>11</v>
      </c>
      <c r="Q423" s="2" t="s">
        <v>26</v>
      </c>
      <c r="R423" s="2" t="s">
        <v>26</v>
      </c>
    </row>
    <row r="424" spans="1:18" x14ac:dyDescent="0.3">
      <c r="A424" s="1" t="s">
        <v>2553</v>
      </c>
      <c r="B424" s="2" t="s">
        <v>2554</v>
      </c>
      <c r="C424" s="2" t="s">
        <v>2555</v>
      </c>
      <c r="D424" s="2" t="s">
        <v>2556</v>
      </c>
      <c r="E424" s="2" t="s">
        <v>2557</v>
      </c>
      <c r="F424" s="2"/>
      <c r="G424" s="2" t="s">
        <v>2558</v>
      </c>
      <c r="H424" s="2" t="s">
        <v>74</v>
      </c>
      <c r="I424" s="2">
        <v>0</v>
      </c>
      <c r="J424" s="2" t="s">
        <v>1400</v>
      </c>
      <c r="K424" s="2" t="s">
        <v>2559</v>
      </c>
      <c r="L424" s="2">
        <v>60490417</v>
      </c>
      <c r="M424" s="2" t="s">
        <v>26</v>
      </c>
      <c r="N424" s="2" t="s">
        <v>26</v>
      </c>
      <c r="O424" s="2" t="s">
        <v>26</v>
      </c>
      <c r="P424" s="2" t="s">
        <v>26</v>
      </c>
      <c r="Q424" s="2" t="s">
        <v>26</v>
      </c>
      <c r="R424" s="2" t="s">
        <v>26</v>
      </c>
    </row>
    <row r="425" spans="1:18" x14ac:dyDescent="0.3">
      <c r="A425" s="1" t="s">
        <v>2560</v>
      </c>
      <c r="B425" s="2" t="s">
        <v>2561</v>
      </c>
      <c r="C425" s="2" t="s">
        <v>2</v>
      </c>
      <c r="D425" s="2" t="s">
        <v>422</v>
      </c>
      <c r="E425" s="2" t="s">
        <v>423</v>
      </c>
      <c r="F425" s="2"/>
      <c r="G425" s="2" t="s">
        <v>424</v>
      </c>
      <c r="H425" s="2" t="s">
        <v>17</v>
      </c>
      <c r="I425" s="2">
        <v>92618</v>
      </c>
      <c r="J425" s="2" t="s">
        <v>8</v>
      </c>
      <c r="K425" s="2" t="s">
        <v>2562</v>
      </c>
      <c r="L425" s="2" t="s">
        <v>2563</v>
      </c>
      <c r="M425" s="2" t="s">
        <v>26</v>
      </c>
      <c r="N425" s="2" t="s">
        <v>26</v>
      </c>
      <c r="O425" s="2" t="s">
        <v>26</v>
      </c>
      <c r="P425" s="8" t="s">
        <v>11</v>
      </c>
      <c r="Q425" s="2" t="s">
        <v>26</v>
      </c>
      <c r="R425" s="2" t="s">
        <v>26</v>
      </c>
    </row>
    <row r="426" spans="1:18" x14ac:dyDescent="0.3">
      <c r="A426" s="1" t="s">
        <v>2564</v>
      </c>
      <c r="B426" s="2" t="s">
        <v>2565</v>
      </c>
      <c r="C426" s="2" t="s">
        <v>29</v>
      </c>
      <c r="D426" s="2" t="s">
        <v>2566</v>
      </c>
      <c r="E426" s="2" t="s">
        <v>2567</v>
      </c>
      <c r="F426" s="2"/>
      <c r="G426" s="2" t="s">
        <v>2568</v>
      </c>
      <c r="H426" s="2" t="s">
        <v>74</v>
      </c>
      <c r="I426" s="2">
        <v>8777</v>
      </c>
      <c r="J426" s="2" t="s">
        <v>456</v>
      </c>
      <c r="K426" s="2" t="s">
        <v>2569</v>
      </c>
      <c r="L426" s="2">
        <v>34938191399</v>
      </c>
      <c r="M426" s="2" t="s">
        <v>26</v>
      </c>
      <c r="N426" s="2" t="s">
        <v>26</v>
      </c>
      <c r="O426" s="2" t="s">
        <v>26</v>
      </c>
      <c r="P426" s="8" t="s">
        <v>11</v>
      </c>
      <c r="Q426" s="2" t="s">
        <v>26</v>
      </c>
      <c r="R426" s="2" t="s">
        <v>26</v>
      </c>
    </row>
    <row r="427" spans="1:18" x14ac:dyDescent="0.3">
      <c r="A427" s="1" t="s">
        <v>2570</v>
      </c>
      <c r="B427" s="2" t="s">
        <v>2571</v>
      </c>
      <c r="C427" s="2" t="s">
        <v>102</v>
      </c>
      <c r="D427" s="2" t="s">
        <v>254</v>
      </c>
      <c r="E427" s="2" t="s">
        <v>2572</v>
      </c>
      <c r="F427" s="2"/>
      <c r="G427" s="2" t="s">
        <v>256</v>
      </c>
      <c r="H427" s="2" t="s">
        <v>74</v>
      </c>
      <c r="I427" s="2" t="s">
        <v>2573</v>
      </c>
      <c r="J427" s="2" t="s">
        <v>258</v>
      </c>
      <c r="K427" s="2" t="s">
        <v>2574</v>
      </c>
      <c r="L427" s="2">
        <v>447450764637</v>
      </c>
      <c r="M427" s="2" t="s">
        <v>26</v>
      </c>
      <c r="N427" s="2" t="s">
        <v>26</v>
      </c>
      <c r="O427" s="8" t="s">
        <v>11</v>
      </c>
      <c r="P427" s="2" t="s">
        <v>26</v>
      </c>
      <c r="Q427" s="2" t="s">
        <v>26</v>
      </c>
      <c r="R427" s="2" t="s">
        <v>26</v>
      </c>
    </row>
    <row r="428" spans="1:18" x14ac:dyDescent="0.3">
      <c r="A428" s="1" t="s">
        <v>2575</v>
      </c>
      <c r="B428" s="2" t="s">
        <v>2576</v>
      </c>
      <c r="C428" s="2" t="s">
        <v>342</v>
      </c>
      <c r="D428" s="2" t="s">
        <v>481</v>
      </c>
      <c r="E428" s="2" t="s">
        <v>2577</v>
      </c>
      <c r="F428" s="2"/>
      <c r="G428" s="2" t="s">
        <v>717</v>
      </c>
      <c r="H428" s="2" t="s">
        <v>17</v>
      </c>
      <c r="I428" s="2">
        <v>94110</v>
      </c>
      <c r="J428" s="2" t="s">
        <v>8</v>
      </c>
      <c r="K428" s="2" t="s">
        <v>2578</v>
      </c>
      <c r="L428" s="2">
        <v>8577638645</v>
      </c>
      <c r="M428" s="2" t="s">
        <v>26</v>
      </c>
      <c r="N428" s="2" t="s">
        <v>26</v>
      </c>
      <c r="O428" s="8" t="s">
        <v>11</v>
      </c>
      <c r="P428" s="2" t="s">
        <v>26</v>
      </c>
      <c r="Q428" s="2" t="s">
        <v>26</v>
      </c>
      <c r="R428" s="2" t="s">
        <v>26</v>
      </c>
    </row>
    <row r="429" spans="1:18" x14ac:dyDescent="0.3">
      <c r="A429" s="1" t="s">
        <v>2579</v>
      </c>
      <c r="B429" s="2" t="s">
        <v>2580</v>
      </c>
      <c r="C429" s="2" t="s">
        <v>1863</v>
      </c>
      <c r="D429" s="2" t="s">
        <v>2027</v>
      </c>
      <c r="E429" s="2" t="s">
        <v>2581</v>
      </c>
      <c r="F429" s="2"/>
      <c r="G429" s="2" t="s">
        <v>2582</v>
      </c>
      <c r="H429" s="2" t="s">
        <v>7</v>
      </c>
      <c r="I429" s="2">
        <v>2478</v>
      </c>
      <c r="J429" s="2" t="s">
        <v>8</v>
      </c>
      <c r="K429" s="2" t="s">
        <v>2583</v>
      </c>
      <c r="L429" s="2" t="s">
        <v>2584</v>
      </c>
      <c r="M429" s="2" t="s">
        <v>26</v>
      </c>
      <c r="N429" s="2" t="s">
        <v>26</v>
      </c>
      <c r="O429" s="2" t="s">
        <v>26</v>
      </c>
      <c r="P429" s="8" t="s">
        <v>11</v>
      </c>
      <c r="Q429" s="2" t="s">
        <v>26</v>
      </c>
      <c r="R429" s="2" t="s">
        <v>26</v>
      </c>
    </row>
    <row r="430" spans="1:18" x14ac:dyDescent="0.3">
      <c r="A430" s="1" t="s">
        <v>2585</v>
      </c>
      <c r="B430" s="2" t="s">
        <v>2586</v>
      </c>
      <c r="C430" s="2" t="s">
        <v>253</v>
      </c>
      <c r="D430" s="2" t="s">
        <v>1139</v>
      </c>
      <c r="E430" s="2" t="s">
        <v>2587</v>
      </c>
      <c r="F430" s="2"/>
      <c r="G430" s="2" t="s">
        <v>1141</v>
      </c>
      <c r="H430" s="2" t="s">
        <v>74</v>
      </c>
      <c r="I430" s="2">
        <v>80131</v>
      </c>
      <c r="J430" s="2" t="s">
        <v>325</v>
      </c>
      <c r="K430" s="2" t="s">
        <v>2588</v>
      </c>
      <c r="L430" s="2">
        <v>49081678620</v>
      </c>
      <c r="M430" s="2" t="s">
        <v>26</v>
      </c>
      <c r="N430" s="2" t="s">
        <v>26</v>
      </c>
      <c r="O430" s="2" t="s">
        <v>26</v>
      </c>
      <c r="P430" s="2" t="s">
        <v>26</v>
      </c>
      <c r="Q430" s="8" t="s">
        <v>11</v>
      </c>
      <c r="R430" s="2" t="s">
        <v>26</v>
      </c>
    </row>
    <row r="431" spans="1:18" x14ac:dyDescent="0.3">
      <c r="A431" s="1" t="s">
        <v>2585</v>
      </c>
      <c r="B431" s="2" t="s">
        <v>2589</v>
      </c>
      <c r="C431" s="2" t="s">
        <v>253</v>
      </c>
      <c r="D431" s="2" t="s">
        <v>2590</v>
      </c>
      <c r="E431" s="2" t="s">
        <v>2591</v>
      </c>
      <c r="F431" s="2" t="s">
        <v>2114</v>
      </c>
      <c r="G431" s="2" t="s">
        <v>2592</v>
      </c>
      <c r="H431" s="2" t="s">
        <v>74</v>
      </c>
      <c r="I431" s="2">
        <v>50019</v>
      </c>
      <c r="J431" s="2" t="s">
        <v>325</v>
      </c>
      <c r="K431" s="2" t="s">
        <v>2593</v>
      </c>
      <c r="L431" s="2" t="s">
        <v>2594</v>
      </c>
      <c r="M431" s="2" t="s">
        <v>26</v>
      </c>
      <c r="N431" s="2" t="s">
        <v>26</v>
      </c>
      <c r="O431" s="2" t="s">
        <v>26</v>
      </c>
      <c r="P431" s="2" t="s">
        <v>26</v>
      </c>
      <c r="Q431" s="8" t="s">
        <v>11</v>
      </c>
      <c r="R431" s="2" t="s">
        <v>26</v>
      </c>
    </row>
    <row r="432" spans="1:18" x14ac:dyDescent="0.3">
      <c r="A432" s="1" t="s">
        <v>2595</v>
      </c>
      <c r="B432" s="2" t="s">
        <v>2596</v>
      </c>
      <c r="C432" s="2" t="s">
        <v>253</v>
      </c>
      <c r="D432" s="2" t="s">
        <v>1989</v>
      </c>
      <c r="E432" s="2" t="s">
        <v>2597</v>
      </c>
      <c r="F432" s="2"/>
      <c r="G432" s="2" t="s">
        <v>1183</v>
      </c>
      <c r="H432" s="2" t="s">
        <v>195</v>
      </c>
      <c r="I432" s="2">
        <v>10003</v>
      </c>
      <c r="J432" s="2" t="s">
        <v>8</v>
      </c>
      <c r="K432" s="2" t="s">
        <v>2598</v>
      </c>
      <c r="L432" s="2" t="s">
        <v>2599</v>
      </c>
      <c r="M432" s="2" t="s">
        <v>26</v>
      </c>
      <c r="N432" s="2" t="s">
        <v>26</v>
      </c>
      <c r="O432" s="2" t="s">
        <v>26</v>
      </c>
      <c r="P432" s="2" t="s">
        <v>26</v>
      </c>
      <c r="Q432" s="8" t="s">
        <v>11</v>
      </c>
      <c r="R432" s="2" t="s">
        <v>26</v>
      </c>
    </row>
    <row r="433" spans="1:18" x14ac:dyDescent="0.3">
      <c r="A433" s="1" t="s">
        <v>2600</v>
      </c>
      <c r="B433" s="2" t="s">
        <v>2601</v>
      </c>
      <c r="C433" s="2" t="s">
        <v>280</v>
      </c>
      <c r="D433" s="2" t="s">
        <v>261</v>
      </c>
      <c r="E433" s="2" t="s">
        <v>2602</v>
      </c>
      <c r="F433" s="2" t="s">
        <v>2603</v>
      </c>
      <c r="G433" s="2" t="s">
        <v>2536</v>
      </c>
      <c r="H433" s="2" t="s">
        <v>264</v>
      </c>
      <c r="I433" s="2">
        <v>97403</v>
      </c>
      <c r="J433" s="2" t="s">
        <v>8</v>
      </c>
      <c r="K433" s="2" t="s">
        <v>2604</v>
      </c>
      <c r="L433" s="2">
        <v>2173726792</v>
      </c>
      <c r="M433" s="2" t="s">
        <v>26</v>
      </c>
      <c r="N433" s="2" t="s">
        <v>26</v>
      </c>
      <c r="O433" s="2" t="s">
        <v>26</v>
      </c>
      <c r="P433" s="2" t="s">
        <v>26</v>
      </c>
      <c r="Q433" s="8" t="s">
        <v>11</v>
      </c>
      <c r="R433" s="2" t="s">
        <v>26</v>
      </c>
    </row>
    <row r="434" spans="1:18" x14ac:dyDescent="0.3">
      <c r="A434" s="1" t="s">
        <v>2605</v>
      </c>
      <c r="B434" s="2" t="s">
        <v>2606</v>
      </c>
      <c r="C434" s="2" t="s">
        <v>29</v>
      </c>
      <c r="D434" s="2" t="s">
        <v>2607</v>
      </c>
      <c r="E434" s="2" t="s">
        <v>2608</v>
      </c>
      <c r="F434" s="2"/>
      <c r="G434" s="2" t="s">
        <v>2609</v>
      </c>
      <c r="H434" s="2" t="s">
        <v>74</v>
      </c>
      <c r="I434" s="2">
        <v>35043</v>
      </c>
      <c r="J434" s="2" t="s">
        <v>235</v>
      </c>
      <c r="K434" s="2" t="s">
        <v>2610</v>
      </c>
      <c r="L434" s="2">
        <v>4915151925163</v>
      </c>
      <c r="M434" s="2" t="s">
        <v>26</v>
      </c>
      <c r="N434" s="2" t="s">
        <v>26</v>
      </c>
      <c r="O434" s="8" t="s">
        <v>11</v>
      </c>
      <c r="P434" s="2" t="s">
        <v>26</v>
      </c>
      <c r="Q434" s="2" t="s">
        <v>26</v>
      </c>
      <c r="R434" s="2" t="s">
        <v>26</v>
      </c>
    </row>
    <row r="435" spans="1:18" x14ac:dyDescent="0.3">
      <c r="A435" s="1" t="s">
        <v>2605</v>
      </c>
      <c r="B435" s="2" t="s">
        <v>2611</v>
      </c>
      <c r="C435" s="2" t="s">
        <v>2612</v>
      </c>
      <c r="D435" s="2" t="s">
        <v>2613</v>
      </c>
      <c r="E435" s="2" t="s">
        <v>2614</v>
      </c>
      <c r="F435" s="2" t="s">
        <v>2615</v>
      </c>
      <c r="G435" s="2" t="s">
        <v>310</v>
      </c>
      <c r="H435" s="2" t="s">
        <v>34</v>
      </c>
      <c r="I435" s="2">
        <v>46202</v>
      </c>
      <c r="J435" s="2" t="s">
        <v>8</v>
      </c>
      <c r="K435" s="2" t="s">
        <v>2616</v>
      </c>
      <c r="L435" s="2">
        <v>6103901858</v>
      </c>
      <c r="M435" s="2" t="s">
        <v>26</v>
      </c>
      <c r="N435" s="2" t="s">
        <v>26</v>
      </c>
      <c r="O435" s="2" t="s">
        <v>26</v>
      </c>
      <c r="P435" s="2" t="s">
        <v>26</v>
      </c>
      <c r="Q435" s="8" t="s">
        <v>11</v>
      </c>
      <c r="R435" s="2" t="s">
        <v>26</v>
      </c>
    </row>
    <row r="436" spans="1:18" x14ac:dyDescent="0.3">
      <c r="A436" s="1" t="s">
        <v>2617</v>
      </c>
      <c r="B436" s="2" t="s">
        <v>2618</v>
      </c>
      <c r="C436" s="2" t="s">
        <v>544</v>
      </c>
      <c r="D436" s="2" t="s">
        <v>21</v>
      </c>
      <c r="E436" s="2" t="s">
        <v>2619</v>
      </c>
      <c r="F436" s="2"/>
      <c r="G436" s="2" t="s">
        <v>623</v>
      </c>
      <c r="H436" s="2" t="s">
        <v>17</v>
      </c>
      <c r="I436" s="2">
        <v>94703</v>
      </c>
      <c r="J436" s="2" t="s">
        <v>8</v>
      </c>
      <c r="K436" s="2" t="s">
        <v>2620</v>
      </c>
      <c r="L436" s="2">
        <v>2137005513</v>
      </c>
      <c r="M436" s="2" t="s">
        <v>26</v>
      </c>
      <c r="N436" s="8" t="s">
        <v>11</v>
      </c>
      <c r="O436" s="2" t="s">
        <v>26</v>
      </c>
      <c r="P436" s="2" t="s">
        <v>26</v>
      </c>
      <c r="Q436" s="2" t="s">
        <v>26</v>
      </c>
      <c r="R436" s="2" t="s">
        <v>26</v>
      </c>
    </row>
    <row r="437" spans="1:18" x14ac:dyDescent="0.3">
      <c r="A437" s="1" t="s">
        <v>2621</v>
      </c>
      <c r="B437" s="2" t="s">
        <v>687</v>
      </c>
      <c r="C437" s="2" t="s">
        <v>1145</v>
      </c>
      <c r="D437" s="2" t="s">
        <v>2622</v>
      </c>
      <c r="E437" s="2" t="s">
        <v>2623</v>
      </c>
      <c r="F437" s="2"/>
      <c r="G437" s="2" t="s">
        <v>2624</v>
      </c>
      <c r="H437" s="2" t="s">
        <v>2625</v>
      </c>
      <c r="I437" s="2">
        <v>66046</v>
      </c>
      <c r="J437" s="2" t="s">
        <v>8</v>
      </c>
      <c r="K437" s="2" t="s">
        <v>2626</v>
      </c>
      <c r="L437" s="2">
        <v>7859798979</v>
      </c>
      <c r="M437" s="8" t="s">
        <v>11</v>
      </c>
      <c r="N437" s="2" t="s">
        <v>26</v>
      </c>
      <c r="O437" s="2" t="s">
        <v>26</v>
      </c>
      <c r="P437" s="2" t="s">
        <v>26</v>
      </c>
      <c r="Q437" s="2" t="s">
        <v>26</v>
      </c>
      <c r="R437" s="2" t="s">
        <v>26</v>
      </c>
    </row>
    <row r="438" spans="1:18" x14ac:dyDescent="0.3">
      <c r="A438" s="1" t="s">
        <v>2627</v>
      </c>
      <c r="B438" s="2" t="s">
        <v>2628</v>
      </c>
      <c r="C438" s="2" t="s">
        <v>2629</v>
      </c>
      <c r="D438" s="2" t="s">
        <v>1579</v>
      </c>
      <c r="E438" s="2" t="s">
        <v>2630</v>
      </c>
      <c r="F438" s="2"/>
      <c r="G438" s="2" t="s">
        <v>1400</v>
      </c>
      <c r="H438" s="2" t="s">
        <v>74</v>
      </c>
      <c r="I438" s="2">
        <v>0</v>
      </c>
      <c r="J438" s="2" t="s">
        <v>1400</v>
      </c>
      <c r="K438" s="2" t="s">
        <v>2631</v>
      </c>
      <c r="L438" s="2">
        <v>85294819679</v>
      </c>
      <c r="M438" s="2" t="s">
        <v>26</v>
      </c>
      <c r="N438" s="2" t="s">
        <v>26</v>
      </c>
      <c r="O438" s="2" t="s">
        <v>26</v>
      </c>
      <c r="P438" s="2" t="s">
        <v>26</v>
      </c>
      <c r="Q438" s="2" t="s">
        <v>26</v>
      </c>
      <c r="R438" s="2" t="s">
        <v>26</v>
      </c>
    </row>
    <row r="439" spans="1:18" x14ac:dyDescent="0.3">
      <c r="A439" s="1" t="s">
        <v>2632</v>
      </c>
      <c r="B439" s="2" t="s">
        <v>279</v>
      </c>
      <c r="C439" s="2" t="s">
        <v>2633</v>
      </c>
      <c r="D439" s="2" t="s">
        <v>460</v>
      </c>
      <c r="E439" s="2" t="s">
        <v>461</v>
      </c>
      <c r="F439" s="2" t="s">
        <v>462</v>
      </c>
      <c r="G439" s="2" t="s">
        <v>463</v>
      </c>
      <c r="H439" s="2" t="s">
        <v>403</v>
      </c>
      <c r="I439" s="2">
        <v>27560</v>
      </c>
      <c r="J439" s="2" t="s">
        <v>8</v>
      </c>
      <c r="K439" s="2" t="s">
        <v>2634</v>
      </c>
      <c r="L439" s="2" t="s">
        <v>2635</v>
      </c>
      <c r="M439" s="2" t="s">
        <v>26</v>
      </c>
      <c r="N439" s="2" t="s">
        <v>26</v>
      </c>
      <c r="O439" s="2" t="s">
        <v>26</v>
      </c>
      <c r="P439" s="8" t="s">
        <v>11</v>
      </c>
      <c r="Q439" s="2" t="s">
        <v>26</v>
      </c>
      <c r="R439" s="2" t="s">
        <v>26</v>
      </c>
    </row>
    <row r="440" spans="1:18" x14ac:dyDescent="0.3">
      <c r="A440" s="1" t="s">
        <v>2636</v>
      </c>
      <c r="B440" s="2" t="s">
        <v>2637</v>
      </c>
      <c r="C440" s="2" t="s">
        <v>2638</v>
      </c>
      <c r="D440" s="2" t="s">
        <v>2639</v>
      </c>
      <c r="E440" s="2" t="s">
        <v>2640</v>
      </c>
      <c r="F440" s="2"/>
      <c r="G440" s="2" t="s">
        <v>861</v>
      </c>
      <c r="H440" s="2" t="s">
        <v>143</v>
      </c>
      <c r="I440" s="2">
        <v>8540</v>
      </c>
      <c r="J440" s="2" t="s">
        <v>8</v>
      </c>
      <c r="K440" s="2" t="s">
        <v>2641</v>
      </c>
      <c r="L440" s="2" t="s">
        <v>2642</v>
      </c>
      <c r="M440" s="2" t="s">
        <v>26</v>
      </c>
      <c r="N440" s="2" t="s">
        <v>26</v>
      </c>
      <c r="O440" s="2" t="s">
        <v>26</v>
      </c>
      <c r="P440" s="8" t="s">
        <v>11</v>
      </c>
      <c r="Q440" s="2" t="s">
        <v>26</v>
      </c>
      <c r="R440" s="2" t="s">
        <v>26</v>
      </c>
    </row>
    <row r="441" spans="1:18" x14ac:dyDescent="0.3">
      <c r="A441" s="1" t="s">
        <v>2636</v>
      </c>
      <c r="B441" s="2" t="s">
        <v>2643</v>
      </c>
      <c r="C441" s="2" t="s">
        <v>2644</v>
      </c>
      <c r="D441" s="2" t="s">
        <v>1601</v>
      </c>
      <c r="E441" s="2" t="s">
        <v>2645</v>
      </c>
      <c r="F441" s="2"/>
      <c r="G441" s="2" t="s">
        <v>2260</v>
      </c>
      <c r="H441" s="2" t="s">
        <v>17</v>
      </c>
      <c r="I441" s="2">
        <v>90275</v>
      </c>
      <c r="J441" s="2" t="s">
        <v>8</v>
      </c>
      <c r="K441" s="2" t="s">
        <v>2646</v>
      </c>
      <c r="L441" s="2" t="s">
        <v>2647</v>
      </c>
      <c r="M441" s="2" t="s">
        <v>26</v>
      </c>
      <c r="N441" s="2" t="s">
        <v>26</v>
      </c>
      <c r="O441" s="2" t="s">
        <v>26</v>
      </c>
      <c r="P441" s="8" t="s">
        <v>11</v>
      </c>
      <c r="Q441" s="2" t="s">
        <v>26</v>
      </c>
      <c r="R441" s="2" t="s">
        <v>26</v>
      </c>
    </row>
    <row r="442" spans="1:18" x14ac:dyDescent="0.3">
      <c r="A442" s="1" t="s">
        <v>2636</v>
      </c>
      <c r="B442" s="2" t="s">
        <v>2648</v>
      </c>
      <c r="C442" s="2" t="s">
        <v>2649</v>
      </c>
      <c r="D442" s="2" t="s">
        <v>1870</v>
      </c>
      <c r="E442" s="2" t="s">
        <v>2650</v>
      </c>
      <c r="F442" s="2"/>
      <c r="G442" s="2" t="s">
        <v>2651</v>
      </c>
      <c r="H442" s="2" t="s">
        <v>74</v>
      </c>
      <c r="I442" s="2" t="s">
        <v>2652</v>
      </c>
      <c r="J442" s="2" t="s">
        <v>1338</v>
      </c>
      <c r="K442" s="2" t="s">
        <v>2653</v>
      </c>
      <c r="L442" s="2" t="s">
        <v>2654</v>
      </c>
      <c r="M442" s="2" t="s">
        <v>26</v>
      </c>
      <c r="N442" s="2" t="s">
        <v>26</v>
      </c>
      <c r="O442" s="2" t="s">
        <v>26</v>
      </c>
      <c r="P442" s="8" t="s">
        <v>11</v>
      </c>
      <c r="Q442" s="2" t="s">
        <v>26</v>
      </c>
      <c r="R442" s="2" t="s">
        <v>26</v>
      </c>
    </row>
    <row r="443" spans="1:18" x14ac:dyDescent="0.3">
      <c r="A443" s="1" t="s">
        <v>2655</v>
      </c>
      <c r="B443" s="2" t="s">
        <v>2656</v>
      </c>
      <c r="C443" s="2" t="s">
        <v>253</v>
      </c>
      <c r="D443" s="2" t="s">
        <v>114</v>
      </c>
      <c r="E443" s="2" t="s">
        <v>115</v>
      </c>
      <c r="F443" s="2"/>
      <c r="G443" s="2" t="s">
        <v>116</v>
      </c>
      <c r="H443" s="2" t="s">
        <v>17</v>
      </c>
      <c r="I443" s="2">
        <v>92037</v>
      </c>
      <c r="J443" s="2" t="s">
        <v>8</v>
      </c>
      <c r="K443" s="2" t="s">
        <v>2657</v>
      </c>
      <c r="L443" s="2" t="s">
        <v>2658</v>
      </c>
      <c r="M443" s="2" t="s">
        <v>26</v>
      </c>
      <c r="N443" s="2" t="s">
        <v>26</v>
      </c>
      <c r="O443" s="2" t="s">
        <v>26</v>
      </c>
      <c r="P443" s="2" t="s">
        <v>26</v>
      </c>
      <c r="Q443" s="8" t="s">
        <v>11</v>
      </c>
      <c r="R443" s="2" t="s">
        <v>26</v>
      </c>
    </row>
    <row r="444" spans="1:18" x14ac:dyDescent="0.3">
      <c r="A444" s="1" t="s">
        <v>2659</v>
      </c>
      <c r="B444" s="2" t="s">
        <v>2660</v>
      </c>
      <c r="C444" s="2" t="s">
        <v>2661</v>
      </c>
      <c r="D444" s="2" t="s">
        <v>2662</v>
      </c>
      <c r="E444" s="2" t="s">
        <v>2663</v>
      </c>
      <c r="F444" s="2"/>
      <c r="G444" s="2" t="s">
        <v>2664</v>
      </c>
      <c r="H444" s="2" t="s">
        <v>74</v>
      </c>
      <c r="I444" s="2">
        <v>78430</v>
      </c>
      <c r="J444" s="2" t="s">
        <v>1052</v>
      </c>
      <c r="K444" s="2" t="s">
        <v>2665</v>
      </c>
      <c r="L444" s="2">
        <v>33629120161</v>
      </c>
      <c r="M444" s="2" t="s">
        <v>26</v>
      </c>
      <c r="N444" s="8" t="s">
        <v>11</v>
      </c>
      <c r="O444" s="2" t="s">
        <v>26</v>
      </c>
      <c r="P444" s="2" t="s">
        <v>26</v>
      </c>
      <c r="Q444" s="2" t="s">
        <v>26</v>
      </c>
      <c r="R444" s="2" t="s">
        <v>26</v>
      </c>
    </row>
    <row r="445" spans="1:18" x14ac:dyDescent="0.3">
      <c r="A445" s="1" t="s">
        <v>2666</v>
      </c>
      <c r="B445" s="2" t="s">
        <v>1993</v>
      </c>
      <c r="C445" s="2" t="s">
        <v>102</v>
      </c>
      <c r="D445" s="2" t="s">
        <v>2667</v>
      </c>
      <c r="E445" s="2" t="s">
        <v>2668</v>
      </c>
      <c r="F445" s="2"/>
      <c r="G445" s="2" t="s">
        <v>1084</v>
      </c>
      <c r="H445" s="2" t="s">
        <v>74</v>
      </c>
      <c r="I445" s="2">
        <v>2970</v>
      </c>
      <c r="J445" s="2" t="s">
        <v>171</v>
      </c>
      <c r="K445" s="2" t="s">
        <v>2669</v>
      </c>
      <c r="L445" s="2" t="s">
        <v>2670</v>
      </c>
      <c r="M445" s="2" t="s">
        <v>26</v>
      </c>
      <c r="N445" s="2" t="s">
        <v>26</v>
      </c>
      <c r="O445" s="2" t="s">
        <v>26</v>
      </c>
      <c r="P445" s="8" t="s">
        <v>11</v>
      </c>
      <c r="Q445" s="2" t="s">
        <v>26</v>
      </c>
      <c r="R445" s="2" t="s">
        <v>26</v>
      </c>
    </row>
    <row r="446" spans="1:18" x14ac:dyDescent="0.3">
      <c r="A446" s="1" t="s">
        <v>2671</v>
      </c>
      <c r="B446" s="2" t="s">
        <v>2672</v>
      </c>
      <c r="C446" s="2" t="s">
        <v>471</v>
      </c>
      <c r="D446" s="2" t="s">
        <v>122</v>
      </c>
      <c r="E446" s="2" t="s">
        <v>2673</v>
      </c>
      <c r="F446" s="2" t="s">
        <v>2674</v>
      </c>
      <c r="G446" s="2" t="s">
        <v>124</v>
      </c>
      <c r="H446" s="2" t="s">
        <v>125</v>
      </c>
      <c r="I446" s="2">
        <v>60607</v>
      </c>
      <c r="J446" s="2" t="s">
        <v>8</v>
      </c>
      <c r="K446" s="2" t="s">
        <v>2675</v>
      </c>
      <c r="L446" s="2">
        <v>3127742589</v>
      </c>
      <c r="M446" s="8" t="s">
        <v>11</v>
      </c>
      <c r="N446" s="2" t="s">
        <v>26</v>
      </c>
      <c r="O446" s="2" t="s">
        <v>26</v>
      </c>
      <c r="P446" s="2" t="s">
        <v>26</v>
      </c>
      <c r="Q446" s="2" t="s">
        <v>26</v>
      </c>
      <c r="R446" s="2" t="s">
        <v>26</v>
      </c>
    </row>
    <row r="447" spans="1:18" x14ac:dyDescent="0.3">
      <c r="A447" s="1" t="s">
        <v>2676</v>
      </c>
      <c r="B447" s="2" t="s">
        <v>2677</v>
      </c>
      <c r="C447" s="2" t="s">
        <v>2678</v>
      </c>
      <c r="D447" s="2" t="s">
        <v>2679</v>
      </c>
      <c r="E447" s="2" t="s">
        <v>2680</v>
      </c>
      <c r="F447" s="2"/>
      <c r="G447" s="2" t="s">
        <v>2681</v>
      </c>
      <c r="H447" s="2" t="s">
        <v>74</v>
      </c>
      <c r="I447" s="2">
        <v>94315</v>
      </c>
      <c r="J447" s="2" t="s">
        <v>235</v>
      </c>
      <c r="K447" s="2" t="s">
        <v>2682</v>
      </c>
      <c r="L447" s="2">
        <v>9421187401</v>
      </c>
      <c r="M447" s="8" t="s">
        <v>11</v>
      </c>
      <c r="N447" s="2" t="s">
        <v>26</v>
      </c>
      <c r="O447" s="2" t="s">
        <v>26</v>
      </c>
      <c r="P447" s="2" t="s">
        <v>26</v>
      </c>
      <c r="Q447" s="2" t="s">
        <v>26</v>
      </c>
      <c r="R447" s="2" t="s">
        <v>26</v>
      </c>
    </row>
    <row r="448" spans="1:18" x14ac:dyDescent="0.3">
      <c r="A448" s="1" t="s">
        <v>2683</v>
      </c>
      <c r="B448" s="2" t="s">
        <v>2684</v>
      </c>
      <c r="C448" s="2" t="s">
        <v>2685</v>
      </c>
      <c r="D448" s="2" t="s">
        <v>2686</v>
      </c>
      <c r="E448" s="2" t="s">
        <v>2687</v>
      </c>
      <c r="F448" s="2"/>
      <c r="G448" s="2" t="s">
        <v>1091</v>
      </c>
      <c r="H448" s="2" t="s">
        <v>17</v>
      </c>
      <c r="I448" s="2">
        <v>92121</v>
      </c>
      <c r="J448" s="2" t="s">
        <v>8</v>
      </c>
      <c r="K448" s="2" t="s">
        <v>2688</v>
      </c>
      <c r="L448" s="2">
        <v>4088215811</v>
      </c>
      <c r="M448" s="2" t="s">
        <v>26</v>
      </c>
      <c r="N448" s="2" t="s">
        <v>26</v>
      </c>
      <c r="O448" s="2" t="s">
        <v>26</v>
      </c>
      <c r="P448" s="8" t="s">
        <v>11</v>
      </c>
      <c r="Q448" s="2" t="s">
        <v>26</v>
      </c>
      <c r="R448" s="2" t="s">
        <v>26</v>
      </c>
    </row>
    <row r="449" spans="1:18" x14ac:dyDescent="0.3">
      <c r="A449" s="1" t="s">
        <v>2689</v>
      </c>
      <c r="B449" s="2" t="s">
        <v>2690</v>
      </c>
      <c r="C449" s="2" t="s">
        <v>2691</v>
      </c>
      <c r="D449" s="2" t="s">
        <v>2692</v>
      </c>
      <c r="E449" s="2" t="s">
        <v>2693</v>
      </c>
      <c r="F449" s="2"/>
      <c r="G449" s="2" t="s">
        <v>2694</v>
      </c>
      <c r="H449" s="2" t="s">
        <v>203</v>
      </c>
      <c r="I449" s="2">
        <v>55120</v>
      </c>
      <c r="J449" s="2" t="s">
        <v>8</v>
      </c>
      <c r="K449" s="2" t="s">
        <v>2695</v>
      </c>
      <c r="L449" s="2">
        <v>6177178747</v>
      </c>
      <c r="M449" s="2" t="s">
        <v>26</v>
      </c>
      <c r="N449" s="2" t="s">
        <v>26</v>
      </c>
      <c r="O449" s="2" t="s">
        <v>26</v>
      </c>
      <c r="P449" s="8" t="s">
        <v>11</v>
      </c>
      <c r="Q449" s="2" t="s">
        <v>26</v>
      </c>
      <c r="R449" s="2" t="s">
        <v>26</v>
      </c>
    </row>
    <row r="450" spans="1:18" x14ac:dyDescent="0.3">
      <c r="A450" s="1" t="s">
        <v>2696</v>
      </c>
      <c r="B450" s="2" t="s">
        <v>2697</v>
      </c>
      <c r="C450" s="2" t="s">
        <v>78</v>
      </c>
      <c r="D450" s="2" t="s">
        <v>2698</v>
      </c>
      <c r="E450" s="2" t="s">
        <v>2699</v>
      </c>
      <c r="F450" s="2" t="s">
        <v>2700</v>
      </c>
      <c r="G450" s="2" t="s">
        <v>1844</v>
      </c>
      <c r="H450" s="2" t="s">
        <v>655</v>
      </c>
      <c r="I450" s="2">
        <v>22903</v>
      </c>
      <c r="J450" s="2" t="s">
        <v>8</v>
      </c>
      <c r="K450" s="2" t="s">
        <v>2701</v>
      </c>
      <c r="L450" s="2">
        <v>5718886331</v>
      </c>
      <c r="M450" s="8" t="s">
        <v>11</v>
      </c>
      <c r="N450" s="2" t="s">
        <v>26</v>
      </c>
      <c r="O450" s="2" t="s">
        <v>26</v>
      </c>
      <c r="P450" s="2" t="s">
        <v>26</v>
      </c>
      <c r="Q450" s="2" t="s">
        <v>26</v>
      </c>
      <c r="R450" s="2" t="s">
        <v>26</v>
      </c>
    </row>
    <row r="451" spans="1:18" x14ac:dyDescent="0.3">
      <c r="A451" s="1" t="s">
        <v>2702</v>
      </c>
      <c r="B451" s="2" t="s">
        <v>2703</v>
      </c>
      <c r="C451" s="2" t="s">
        <v>2704</v>
      </c>
      <c r="D451" s="2" t="s">
        <v>2705</v>
      </c>
      <c r="E451" s="2" t="s">
        <v>2706</v>
      </c>
      <c r="F451" s="2"/>
      <c r="G451" s="2" t="s">
        <v>2707</v>
      </c>
      <c r="H451" s="2" t="s">
        <v>65</v>
      </c>
      <c r="I451" s="2">
        <v>33314</v>
      </c>
      <c r="J451" s="2" t="s">
        <v>8</v>
      </c>
      <c r="K451" s="2" t="s">
        <v>2708</v>
      </c>
      <c r="L451" s="2">
        <v>9542246829</v>
      </c>
      <c r="M451" s="2" t="s">
        <v>26</v>
      </c>
      <c r="N451" s="2" t="s">
        <v>26</v>
      </c>
      <c r="O451" s="2" t="s">
        <v>26</v>
      </c>
      <c r="P451" s="2" t="s">
        <v>26</v>
      </c>
      <c r="Q451" s="8" t="s">
        <v>11</v>
      </c>
      <c r="R451" s="2" t="s">
        <v>26</v>
      </c>
    </row>
    <row r="452" spans="1:18" x14ac:dyDescent="0.3">
      <c r="A452" s="1" t="s">
        <v>2709</v>
      </c>
      <c r="B452" s="2" t="s">
        <v>2710</v>
      </c>
      <c r="C452" s="2" t="s">
        <v>244</v>
      </c>
      <c r="D452" s="2" t="s">
        <v>372</v>
      </c>
      <c r="E452" s="2" t="s">
        <v>373</v>
      </c>
      <c r="F452" s="2"/>
      <c r="G452" s="2" t="s">
        <v>374</v>
      </c>
      <c r="H452" s="2" t="s">
        <v>17</v>
      </c>
      <c r="I452" s="2">
        <v>92831</v>
      </c>
      <c r="J452" s="2" t="s">
        <v>8</v>
      </c>
      <c r="K452" s="2" t="s">
        <v>2711</v>
      </c>
      <c r="L452" s="2">
        <v>6572784256</v>
      </c>
      <c r="M452" s="2" t="s">
        <v>26</v>
      </c>
      <c r="N452" s="2" t="s">
        <v>26</v>
      </c>
      <c r="O452" s="2" t="s">
        <v>26</v>
      </c>
      <c r="P452" s="2" t="s">
        <v>26</v>
      </c>
      <c r="Q452" s="2" t="s">
        <v>26</v>
      </c>
      <c r="R452" s="8" t="s">
        <v>11</v>
      </c>
    </row>
    <row r="453" spans="1:18" x14ac:dyDescent="0.3">
      <c r="A453" s="1" t="s">
        <v>2712</v>
      </c>
      <c r="B453" s="2" t="s">
        <v>2713</v>
      </c>
      <c r="C453" s="2" t="s">
        <v>2714</v>
      </c>
      <c r="D453" s="2" t="s">
        <v>1982</v>
      </c>
      <c r="E453" s="2" t="s">
        <v>72</v>
      </c>
      <c r="F453" s="2"/>
      <c r="G453" s="2" t="s">
        <v>1984</v>
      </c>
      <c r="H453" s="2" t="s">
        <v>74</v>
      </c>
      <c r="I453" s="2">
        <v>8049</v>
      </c>
      <c r="J453" s="2" t="s">
        <v>75</v>
      </c>
      <c r="K453" s="2" t="s">
        <v>2715</v>
      </c>
      <c r="L453" s="2" t="s">
        <v>2716</v>
      </c>
      <c r="M453" s="8" t="s">
        <v>11</v>
      </c>
      <c r="N453" s="2" t="s">
        <v>26</v>
      </c>
      <c r="O453" s="2" t="s">
        <v>26</v>
      </c>
      <c r="P453" s="2" t="s">
        <v>26</v>
      </c>
      <c r="Q453" s="2" t="s">
        <v>26</v>
      </c>
      <c r="R453" s="2" t="s">
        <v>26</v>
      </c>
    </row>
    <row r="454" spans="1:18" x14ac:dyDescent="0.3">
      <c r="A454" s="1" t="s">
        <v>2497</v>
      </c>
      <c r="B454" s="2" t="s">
        <v>2717</v>
      </c>
      <c r="C454" s="2" t="s">
        <v>78</v>
      </c>
      <c r="D454" s="2" t="s">
        <v>185</v>
      </c>
      <c r="E454" s="2" t="s">
        <v>2718</v>
      </c>
      <c r="F454" s="2"/>
      <c r="G454" s="2" t="s">
        <v>1329</v>
      </c>
      <c r="H454" s="2" t="s">
        <v>7</v>
      </c>
      <c r="I454" s="2">
        <v>2155</v>
      </c>
      <c r="J454" s="2" t="s">
        <v>8</v>
      </c>
      <c r="K454" s="2" t="s">
        <v>2719</v>
      </c>
      <c r="L454" s="2">
        <v>5166063778</v>
      </c>
      <c r="M454" s="8" t="s">
        <v>11</v>
      </c>
      <c r="N454" s="2" t="s">
        <v>26</v>
      </c>
      <c r="O454" s="2" t="s">
        <v>26</v>
      </c>
      <c r="P454" s="2" t="s">
        <v>26</v>
      </c>
      <c r="Q454" s="2" t="s">
        <v>26</v>
      </c>
      <c r="R454" s="2" t="s">
        <v>26</v>
      </c>
    </row>
    <row r="455" spans="1:18" x14ac:dyDescent="0.3">
      <c r="A455" s="1" t="s">
        <v>2720</v>
      </c>
      <c r="B455" s="2" t="s">
        <v>2721</v>
      </c>
      <c r="C455" s="2" t="s">
        <v>2722</v>
      </c>
      <c r="D455" s="2" t="s">
        <v>2723</v>
      </c>
      <c r="E455" s="2" t="s">
        <v>2724</v>
      </c>
      <c r="F455" s="2"/>
      <c r="G455" s="2" t="s">
        <v>2725</v>
      </c>
      <c r="H455" s="2" t="s">
        <v>74</v>
      </c>
      <c r="I455" s="2">
        <v>4416</v>
      </c>
      <c r="J455" s="2" t="s">
        <v>75</v>
      </c>
      <c r="K455" s="2" t="s">
        <v>2726</v>
      </c>
      <c r="L455" s="2">
        <v>41585952021</v>
      </c>
      <c r="M455" s="2" t="s">
        <v>26</v>
      </c>
      <c r="N455" s="2" t="s">
        <v>26</v>
      </c>
      <c r="O455" s="2" t="s">
        <v>26</v>
      </c>
      <c r="P455" s="8" t="s">
        <v>11</v>
      </c>
      <c r="Q455" s="2" t="s">
        <v>26</v>
      </c>
      <c r="R455" s="2" t="s">
        <v>26</v>
      </c>
    </row>
    <row r="456" spans="1:18" x14ac:dyDescent="0.3">
      <c r="A456" s="1" t="s">
        <v>2727</v>
      </c>
      <c r="B456" s="2" t="s">
        <v>2728</v>
      </c>
      <c r="C456" s="2" t="s">
        <v>2729</v>
      </c>
      <c r="D456" s="2" t="s">
        <v>2730</v>
      </c>
      <c r="E456" s="2" t="s">
        <v>2731</v>
      </c>
      <c r="F456" s="2" t="s">
        <v>2732</v>
      </c>
      <c r="G456" s="2" t="s">
        <v>16</v>
      </c>
      <c r="H456" s="2" t="s">
        <v>17</v>
      </c>
      <c r="I456" s="2">
        <v>92131</v>
      </c>
      <c r="J456" s="2" t="s">
        <v>8</v>
      </c>
      <c r="K456" s="2" t="s">
        <v>2733</v>
      </c>
      <c r="L456" s="2" t="s">
        <v>2734</v>
      </c>
      <c r="M456" s="8" t="s">
        <v>11</v>
      </c>
      <c r="N456" s="2" t="s">
        <v>26</v>
      </c>
      <c r="O456" s="2" t="s">
        <v>26</v>
      </c>
      <c r="P456" s="2" t="s">
        <v>26</v>
      </c>
      <c r="Q456" s="2" t="s">
        <v>26</v>
      </c>
      <c r="R456" s="2" t="s">
        <v>26</v>
      </c>
    </row>
    <row r="457" spans="1:18" x14ac:dyDescent="0.3">
      <c r="A457" s="1" t="s">
        <v>2735</v>
      </c>
      <c r="B457" s="2" t="s">
        <v>2736</v>
      </c>
      <c r="C457" s="2" t="s">
        <v>2737</v>
      </c>
      <c r="D457" s="2" t="s">
        <v>2738</v>
      </c>
      <c r="E457" s="2" t="s">
        <v>2739</v>
      </c>
      <c r="F457" s="2"/>
      <c r="G457" s="2" t="s">
        <v>50</v>
      </c>
      <c r="H457" s="2" t="s">
        <v>51</v>
      </c>
      <c r="I457" s="2">
        <v>21702</v>
      </c>
      <c r="J457" s="2" t="s">
        <v>8</v>
      </c>
      <c r="K457" s="2" t="s">
        <v>2740</v>
      </c>
      <c r="L457" s="2">
        <v>2408400492</v>
      </c>
      <c r="M457" s="2" t="s">
        <v>26</v>
      </c>
      <c r="N457" s="8" t="s">
        <v>11</v>
      </c>
      <c r="O457" s="2" t="s">
        <v>26</v>
      </c>
      <c r="P457" s="2" t="s">
        <v>26</v>
      </c>
      <c r="Q457" s="2" t="s">
        <v>26</v>
      </c>
      <c r="R457" s="2" t="s">
        <v>26</v>
      </c>
    </row>
    <row r="458" spans="1:18" x14ac:dyDescent="0.3">
      <c r="A458" s="1" t="s">
        <v>2741</v>
      </c>
      <c r="B458" s="2" t="s">
        <v>2742</v>
      </c>
      <c r="C458" s="2" t="s">
        <v>13</v>
      </c>
      <c r="D458" s="2" t="s">
        <v>21</v>
      </c>
      <c r="E458" s="2" t="s">
        <v>2743</v>
      </c>
      <c r="F458" s="2"/>
      <c r="G458" s="2" t="s">
        <v>575</v>
      </c>
      <c r="H458" s="2" t="s">
        <v>17</v>
      </c>
      <c r="I458" s="2">
        <v>94538</v>
      </c>
      <c r="J458" s="2" t="s">
        <v>8</v>
      </c>
      <c r="K458" s="2" t="s">
        <v>2744</v>
      </c>
      <c r="L458" s="2">
        <v>7655433813</v>
      </c>
      <c r="M458" s="2" t="s">
        <v>26</v>
      </c>
      <c r="N458" s="8" t="s">
        <v>11</v>
      </c>
      <c r="O458" s="2" t="s">
        <v>26</v>
      </c>
      <c r="P458" s="2" t="s">
        <v>26</v>
      </c>
      <c r="Q458" s="2" t="s">
        <v>26</v>
      </c>
      <c r="R458" s="2" t="s">
        <v>26</v>
      </c>
    </row>
    <row r="459" spans="1:18" x14ac:dyDescent="0.3">
      <c r="A459" s="1" t="s">
        <v>2745</v>
      </c>
      <c r="B459" s="2" t="s">
        <v>2376</v>
      </c>
      <c r="C459" s="2" t="s">
        <v>365</v>
      </c>
      <c r="D459" s="2" t="s">
        <v>2746</v>
      </c>
      <c r="E459" s="2" t="s">
        <v>2747</v>
      </c>
      <c r="F459" s="2"/>
      <c r="G459" s="2" t="s">
        <v>2748</v>
      </c>
      <c r="H459" s="2" t="s">
        <v>74</v>
      </c>
      <c r="I459" s="2">
        <v>55000</v>
      </c>
      <c r="J459" s="2" t="s">
        <v>1346</v>
      </c>
      <c r="K459" s="2" t="s">
        <v>2749</v>
      </c>
      <c r="L459" s="2">
        <v>821082888761</v>
      </c>
      <c r="M459" s="2" t="s">
        <v>26</v>
      </c>
      <c r="N459" s="2" t="s">
        <v>26</v>
      </c>
      <c r="O459" s="2" t="s">
        <v>26</v>
      </c>
      <c r="P459" s="2" t="s">
        <v>26</v>
      </c>
      <c r="Q459" s="2" t="s">
        <v>26</v>
      </c>
      <c r="R459" s="8" t="s">
        <v>11</v>
      </c>
    </row>
    <row r="460" spans="1:18" x14ac:dyDescent="0.3">
      <c r="A460" s="1" t="s">
        <v>2750</v>
      </c>
      <c r="B460" s="2" t="s">
        <v>2751</v>
      </c>
      <c r="C460" s="2" t="s">
        <v>2752</v>
      </c>
      <c r="D460" s="2" t="s">
        <v>2753</v>
      </c>
      <c r="E460" s="2" t="s">
        <v>2754</v>
      </c>
      <c r="F460" s="2"/>
      <c r="G460" s="2" t="s">
        <v>2755</v>
      </c>
      <c r="H460" s="2" t="s">
        <v>74</v>
      </c>
      <c r="I460" s="2">
        <v>2448602</v>
      </c>
      <c r="J460" s="2" t="s">
        <v>417</v>
      </c>
      <c r="K460" s="2" t="s">
        <v>2756</v>
      </c>
      <c r="L460" s="2">
        <v>7042940635</v>
      </c>
      <c r="M460" s="2" t="s">
        <v>26</v>
      </c>
      <c r="N460" s="2" t="s">
        <v>26</v>
      </c>
      <c r="O460" s="2" t="s">
        <v>26</v>
      </c>
      <c r="P460" s="8" t="s">
        <v>11</v>
      </c>
      <c r="Q460" s="2" t="s">
        <v>26</v>
      </c>
      <c r="R460" s="2" t="s">
        <v>26</v>
      </c>
    </row>
    <row r="461" spans="1:18" x14ac:dyDescent="0.3">
      <c r="A461" s="1" t="s">
        <v>2757</v>
      </c>
      <c r="B461" s="2" t="s">
        <v>2758</v>
      </c>
      <c r="C461" s="2" t="s">
        <v>253</v>
      </c>
      <c r="D461" s="2" t="s">
        <v>2759</v>
      </c>
      <c r="E461" s="2" t="s">
        <v>2760</v>
      </c>
      <c r="F461" s="2"/>
      <c r="G461" s="2" t="s">
        <v>2761</v>
      </c>
      <c r="H461" s="2" t="s">
        <v>74</v>
      </c>
      <c r="I461" s="2" t="s">
        <v>2762</v>
      </c>
      <c r="J461" s="2" t="s">
        <v>258</v>
      </c>
      <c r="K461" s="2" t="s">
        <v>2763</v>
      </c>
      <c r="L461" s="2" t="s">
        <v>2764</v>
      </c>
      <c r="M461" s="2" t="s">
        <v>26</v>
      </c>
      <c r="N461" s="2" t="s">
        <v>26</v>
      </c>
      <c r="O461" s="2" t="s">
        <v>26</v>
      </c>
      <c r="P461" s="2" t="s">
        <v>26</v>
      </c>
      <c r="Q461" s="8" t="s">
        <v>11</v>
      </c>
      <c r="R461" s="2" t="s">
        <v>26</v>
      </c>
    </row>
    <row r="462" spans="1:18" x14ac:dyDescent="0.3">
      <c r="A462" s="1" t="s">
        <v>2757</v>
      </c>
      <c r="B462" s="2" t="s">
        <v>2765</v>
      </c>
      <c r="C462" s="2" t="s">
        <v>1927</v>
      </c>
      <c r="D462" s="2" t="s">
        <v>2766</v>
      </c>
      <c r="E462" s="2" t="s">
        <v>2767</v>
      </c>
      <c r="F462" s="2"/>
      <c r="G462" s="2" t="s">
        <v>2768</v>
      </c>
      <c r="H462" s="2" t="s">
        <v>34</v>
      </c>
      <c r="I462" s="2">
        <v>47405</v>
      </c>
      <c r="J462" s="2" t="s">
        <v>8</v>
      </c>
      <c r="K462" s="2" t="s">
        <v>2769</v>
      </c>
      <c r="L462" s="2" t="s">
        <v>2770</v>
      </c>
      <c r="M462" s="2" t="s">
        <v>26</v>
      </c>
      <c r="N462" s="2" t="s">
        <v>26</v>
      </c>
      <c r="O462" s="2" t="s">
        <v>26</v>
      </c>
      <c r="P462" s="2" t="s">
        <v>26</v>
      </c>
      <c r="Q462" s="8" t="s">
        <v>11</v>
      </c>
      <c r="R462" s="2" t="s">
        <v>26</v>
      </c>
    </row>
    <row r="463" spans="1:18" x14ac:dyDescent="0.3">
      <c r="A463" s="1" t="s">
        <v>2771</v>
      </c>
      <c r="B463" s="2" t="s">
        <v>2772</v>
      </c>
      <c r="C463" s="2" t="s">
        <v>2773</v>
      </c>
      <c r="D463" s="2" t="s">
        <v>1694</v>
      </c>
      <c r="E463" s="2" t="s">
        <v>1695</v>
      </c>
      <c r="F463" s="2" t="s">
        <v>1696</v>
      </c>
      <c r="G463" s="2" t="s">
        <v>16</v>
      </c>
      <c r="H463" s="2" t="s">
        <v>17</v>
      </c>
      <c r="I463" s="2">
        <v>92078</v>
      </c>
      <c r="J463" s="2" t="s">
        <v>8</v>
      </c>
      <c r="K463" s="2" t="s">
        <v>2774</v>
      </c>
      <c r="L463" s="2">
        <v>9493572545</v>
      </c>
      <c r="M463" s="2" t="s">
        <v>26</v>
      </c>
      <c r="N463" s="8" t="s">
        <v>11</v>
      </c>
      <c r="O463" s="2" t="s">
        <v>26</v>
      </c>
      <c r="P463" s="2" t="s">
        <v>26</v>
      </c>
      <c r="Q463" s="2" t="s">
        <v>26</v>
      </c>
      <c r="R463" s="2" t="s">
        <v>26</v>
      </c>
    </row>
    <row r="464" spans="1:18" x14ac:dyDescent="0.3">
      <c r="A464" s="1" t="s">
        <v>2775</v>
      </c>
      <c r="B464" s="2" t="s">
        <v>2776</v>
      </c>
      <c r="C464" s="2" t="s">
        <v>1224</v>
      </c>
      <c r="D464" s="2" t="s">
        <v>556</v>
      </c>
      <c r="E464" s="2" t="s">
        <v>2384</v>
      </c>
      <c r="F464" s="2" t="s">
        <v>2385</v>
      </c>
      <c r="G464" s="2" t="s">
        <v>2777</v>
      </c>
      <c r="H464" s="2" t="s">
        <v>559</v>
      </c>
      <c r="I464" s="2">
        <v>50011</v>
      </c>
      <c r="J464" s="2" t="s">
        <v>8</v>
      </c>
      <c r="K464" s="2" t="s">
        <v>2778</v>
      </c>
      <c r="L464" s="2">
        <v>5157158253</v>
      </c>
      <c r="M464" s="8" t="s">
        <v>11</v>
      </c>
      <c r="N464" s="2" t="s">
        <v>26</v>
      </c>
      <c r="O464" s="2" t="s">
        <v>26</v>
      </c>
      <c r="P464" s="2" t="s">
        <v>26</v>
      </c>
      <c r="Q464" s="2" t="s">
        <v>26</v>
      </c>
      <c r="R464" s="2" t="s">
        <v>26</v>
      </c>
    </row>
    <row r="465" spans="1:18" x14ac:dyDescent="0.3">
      <c r="A465" s="1" t="s">
        <v>2779</v>
      </c>
      <c r="B465" s="2" t="s">
        <v>2780</v>
      </c>
      <c r="C465" s="2" t="s">
        <v>223</v>
      </c>
      <c r="D465" s="2" t="s">
        <v>500</v>
      </c>
      <c r="E465" s="2" t="s">
        <v>2781</v>
      </c>
      <c r="F465" s="2"/>
      <c r="G465" s="2" t="s">
        <v>2782</v>
      </c>
      <c r="H465" s="2" t="s">
        <v>489</v>
      </c>
      <c r="I465" s="2">
        <v>18914</v>
      </c>
      <c r="J465" s="2" t="s">
        <v>8</v>
      </c>
      <c r="K465" s="2" t="s">
        <v>2783</v>
      </c>
      <c r="L465" s="2">
        <v>12676449327</v>
      </c>
      <c r="M465" s="2" t="s">
        <v>26</v>
      </c>
      <c r="N465" s="2" t="s">
        <v>26</v>
      </c>
      <c r="O465" s="2" t="s">
        <v>26</v>
      </c>
      <c r="P465" s="8" t="s">
        <v>11</v>
      </c>
      <c r="Q465" s="2" t="s">
        <v>26</v>
      </c>
      <c r="R465" s="2" t="s">
        <v>26</v>
      </c>
    </row>
    <row r="466" spans="1:18" x14ac:dyDescent="0.3">
      <c r="A466" s="1" t="s">
        <v>2779</v>
      </c>
      <c r="B466" s="2" t="s">
        <v>2784</v>
      </c>
      <c r="C466" s="2" t="s">
        <v>428</v>
      </c>
      <c r="D466" s="2" t="s">
        <v>1901</v>
      </c>
      <c r="E466" s="2" t="s">
        <v>2785</v>
      </c>
      <c r="F466" s="2" t="s">
        <v>2786</v>
      </c>
      <c r="G466" s="2" t="s">
        <v>6</v>
      </c>
      <c r="H466" s="2" t="s">
        <v>7</v>
      </c>
      <c r="I466" s="2">
        <v>2140</v>
      </c>
      <c r="J466" s="2" t="s">
        <v>8</v>
      </c>
      <c r="K466" s="2" t="s">
        <v>2787</v>
      </c>
      <c r="L466" s="2">
        <v>9782013918</v>
      </c>
      <c r="M466" s="2" t="s">
        <v>26</v>
      </c>
      <c r="N466" s="2" t="s">
        <v>26</v>
      </c>
      <c r="O466" s="2" t="s">
        <v>26</v>
      </c>
      <c r="P466" s="8" t="s">
        <v>11</v>
      </c>
      <c r="Q466" s="2" t="s">
        <v>26</v>
      </c>
      <c r="R466" s="2" t="s">
        <v>26</v>
      </c>
    </row>
    <row r="467" spans="1:18" x14ac:dyDescent="0.3">
      <c r="A467" s="1" t="s">
        <v>2779</v>
      </c>
      <c r="B467" s="2" t="s">
        <v>2788</v>
      </c>
      <c r="C467" s="2" t="s">
        <v>280</v>
      </c>
      <c r="D467" s="2" t="s">
        <v>2789</v>
      </c>
      <c r="E467" s="2" t="s">
        <v>2790</v>
      </c>
      <c r="F467" s="2"/>
      <c r="G467" s="2" t="s">
        <v>397</v>
      </c>
      <c r="H467" s="2" t="s">
        <v>250</v>
      </c>
      <c r="I467" s="2">
        <v>78712</v>
      </c>
      <c r="J467" s="2" t="s">
        <v>8</v>
      </c>
      <c r="K467" s="2" t="s">
        <v>2791</v>
      </c>
      <c r="L467" s="2">
        <v>7138980307</v>
      </c>
      <c r="M467" s="2" t="s">
        <v>26</v>
      </c>
      <c r="N467" s="2" t="s">
        <v>26</v>
      </c>
      <c r="O467" s="2" t="s">
        <v>26</v>
      </c>
      <c r="P467" s="2" t="s">
        <v>26</v>
      </c>
      <c r="Q467" s="8" t="s">
        <v>11</v>
      </c>
      <c r="R467" s="2" t="s">
        <v>26</v>
      </c>
    </row>
    <row r="468" spans="1:18" x14ac:dyDescent="0.3">
      <c r="A468" s="1" t="s">
        <v>2779</v>
      </c>
      <c r="B468" s="2" t="s">
        <v>2792</v>
      </c>
      <c r="C468" s="2" t="s">
        <v>926</v>
      </c>
      <c r="D468" s="2" t="s">
        <v>2793</v>
      </c>
      <c r="E468" s="2" t="s">
        <v>2794</v>
      </c>
      <c r="F468" s="2" t="s">
        <v>2795</v>
      </c>
      <c r="G468" s="2" t="s">
        <v>1532</v>
      </c>
      <c r="H468" s="2" t="s">
        <v>143</v>
      </c>
      <c r="I468" s="2">
        <v>7103</v>
      </c>
      <c r="J468" s="2" t="s">
        <v>8</v>
      </c>
      <c r="K468" s="2" t="s">
        <v>2796</v>
      </c>
      <c r="L468" s="2">
        <v>9739360813</v>
      </c>
      <c r="M468" s="2" t="s">
        <v>26</v>
      </c>
      <c r="N468" s="2" t="s">
        <v>26</v>
      </c>
      <c r="O468" s="8" t="s">
        <v>11</v>
      </c>
      <c r="P468" s="2" t="s">
        <v>26</v>
      </c>
      <c r="Q468" s="2" t="s">
        <v>26</v>
      </c>
      <c r="R468" s="2" t="s">
        <v>26</v>
      </c>
    </row>
    <row r="469" spans="1:18" x14ac:dyDescent="0.3">
      <c r="A469" s="1" t="s">
        <v>2797</v>
      </c>
      <c r="B469" s="2" t="s">
        <v>2798</v>
      </c>
      <c r="C469" s="2" t="s">
        <v>29</v>
      </c>
      <c r="D469" s="2" t="s">
        <v>2799</v>
      </c>
      <c r="E469" s="2" t="s">
        <v>2800</v>
      </c>
      <c r="F469" s="2" t="s">
        <v>2801</v>
      </c>
      <c r="G469" s="2" t="s">
        <v>2802</v>
      </c>
      <c r="H469" s="2" t="s">
        <v>74</v>
      </c>
      <c r="I469" s="2">
        <v>2340000</v>
      </c>
      <c r="J469" s="2" t="s">
        <v>86</v>
      </c>
      <c r="K469" s="2" t="s">
        <v>2803</v>
      </c>
      <c r="L469" s="2">
        <v>56981738342</v>
      </c>
      <c r="M469" s="2" t="s">
        <v>26</v>
      </c>
      <c r="N469" s="2" t="s">
        <v>26</v>
      </c>
      <c r="O469" s="2" t="s">
        <v>26</v>
      </c>
      <c r="P469" s="2" t="s">
        <v>26</v>
      </c>
      <c r="Q469" s="8" t="s">
        <v>11</v>
      </c>
      <c r="R469" s="2" t="s">
        <v>26</v>
      </c>
    </row>
    <row r="470" spans="1:18" x14ac:dyDescent="0.3">
      <c r="A470" s="1" t="s">
        <v>2804</v>
      </c>
      <c r="B470" s="2" t="s">
        <v>2805</v>
      </c>
      <c r="C470" s="2" t="s">
        <v>253</v>
      </c>
      <c r="D470" s="2" t="s">
        <v>2806</v>
      </c>
      <c r="E470" s="2" t="s">
        <v>2341</v>
      </c>
      <c r="F470" s="2" t="s">
        <v>2807</v>
      </c>
      <c r="G470" s="2" t="s">
        <v>133</v>
      </c>
      <c r="H470" s="2" t="s">
        <v>134</v>
      </c>
      <c r="I470" s="2">
        <v>85721</v>
      </c>
      <c r="J470" s="2" t="s">
        <v>8</v>
      </c>
      <c r="K470" s="2" t="s">
        <v>2808</v>
      </c>
      <c r="L470" s="2">
        <v>5203702654</v>
      </c>
      <c r="M470" s="2" t="s">
        <v>26</v>
      </c>
      <c r="N470" s="2" t="s">
        <v>26</v>
      </c>
      <c r="O470" s="2" t="s">
        <v>26</v>
      </c>
      <c r="P470" s="2" t="s">
        <v>26</v>
      </c>
      <c r="Q470" s="8" t="s">
        <v>11</v>
      </c>
      <c r="R470" s="2" t="s">
        <v>26</v>
      </c>
    </row>
    <row r="471" spans="1:18" x14ac:dyDescent="0.3">
      <c r="A471" s="1" t="s">
        <v>2809</v>
      </c>
      <c r="B471" s="2" t="s">
        <v>814</v>
      </c>
      <c r="C471" s="2" t="s">
        <v>2810</v>
      </c>
      <c r="D471" s="2" t="s">
        <v>254</v>
      </c>
      <c r="E471" s="2" t="s">
        <v>2811</v>
      </c>
      <c r="F471" s="2"/>
      <c r="G471" s="2" t="s">
        <v>256</v>
      </c>
      <c r="H471" s="2" t="s">
        <v>74</v>
      </c>
      <c r="I471" s="2" t="s">
        <v>2812</v>
      </c>
      <c r="J471" s="2" t="s">
        <v>258</v>
      </c>
      <c r="K471" s="2" t="s">
        <v>2813</v>
      </c>
      <c r="L471" s="2">
        <v>7941617987</v>
      </c>
      <c r="M471" s="2" t="s">
        <v>26</v>
      </c>
      <c r="N471" s="2" t="s">
        <v>26</v>
      </c>
      <c r="O471" s="8" t="s">
        <v>11</v>
      </c>
      <c r="P471" s="2" t="s">
        <v>26</v>
      </c>
      <c r="Q471" s="2" t="s">
        <v>26</v>
      </c>
      <c r="R471" s="2" t="s">
        <v>26</v>
      </c>
    </row>
    <row r="472" spans="1:18" x14ac:dyDescent="0.3">
      <c r="A472" s="1" t="s">
        <v>2814</v>
      </c>
      <c r="B472" s="2" t="s">
        <v>2815</v>
      </c>
      <c r="C472" s="2" t="s">
        <v>102</v>
      </c>
      <c r="D472" s="2" t="s">
        <v>2816</v>
      </c>
      <c r="E472" s="2" t="s">
        <v>2817</v>
      </c>
      <c r="F472" s="2">
        <v>9</v>
      </c>
      <c r="G472" s="2" t="s">
        <v>2818</v>
      </c>
      <c r="H472" s="2" t="s">
        <v>74</v>
      </c>
      <c r="I472" s="2">
        <v>72072</v>
      </c>
      <c r="J472" s="2" t="s">
        <v>235</v>
      </c>
      <c r="K472" s="2" t="s">
        <v>2819</v>
      </c>
      <c r="L472" s="2">
        <v>7071763157</v>
      </c>
      <c r="M472" s="2" t="s">
        <v>26</v>
      </c>
      <c r="N472" s="2" t="s">
        <v>26</v>
      </c>
      <c r="O472" s="2" t="s">
        <v>26</v>
      </c>
      <c r="P472" s="8" t="s">
        <v>11</v>
      </c>
      <c r="Q472" s="2" t="s">
        <v>26</v>
      </c>
      <c r="R472" s="2" t="s">
        <v>26</v>
      </c>
    </row>
    <row r="473" spans="1:18" x14ac:dyDescent="0.3">
      <c r="A473" s="1" t="s">
        <v>2820</v>
      </c>
      <c r="B473" s="2" t="s">
        <v>2821</v>
      </c>
      <c r="C473" s="2" t="s">
        <v>2026</v>
      </c>
      <c r="D473" s="2" t="s">
        <v>14</v>
      </c>
      <c r="E473" s="2" t="s">
        <v>2822</v>
      </c>
      <c r="F473" s="2"/>
      <c r="G473" s="2" t="s">
        <v>16</v>
      </c>
      <c r="H473" s="2" t="s">
        <v>17</v>
      </c>
      <c r="I473" s="2">
        <v>92130</v>
      </c>
      <c r="J473" s="2" t="s">
        <v>8</v>
      </c>
      <c r="K473" s="2" t="s">
        <v>2823</v>
      </c>
      <c r="L473" s="2">
        <v>3175075365</v>
      </c>
      <c r="M473" s="2" t="s">
        <v>26</v>
      </c>
      <c r="N473" s="2" t="s">
        <v>26</v>
      </c>
      <c r="O473" s="2" t="s">
        <v>26</v>
      </c>
      <c r="P473" s="8" t="s">
        <v>11</v>
      </c>
      <c r="Q473" s="2" t="s">
        <v>26</v>
      </c>
      <c r="R473" s="2" t="s">
        <v>26</v>
      </c>
    </row>
    <row r="474" spans="1:18" x14ac:dyDescent="0.3">
      <c r="A474" s="1" t="s">
        <v>2824</v>
      </c>
      <c r="B474" s="2" t="s">
        <v>2825</v>
      </c>
      <c r="C474" s="2" t="s">
        <v>244</v>
      </c>
      <c r="D474" s="2" t="s">
        <v>372</v>
      </c>
      <c r="E474" s="2" t="s">
        <v>373</v>
      </c>
      <c r="F474" s="2"/>
      <c r="G474" s="2" t="s">
        <v>374</v>
      </c>
      <c r="H474" s="2" t="s">
        <v>17</v>
      </c>
      <c r="I474" s="2">
        <v>92831</v>
      </c>
      <c r="J474" s="2" t="s">
        <v>8</v>
      </c>
      <c r="K474" s="2" t="s">
        <v>2826</v>
      </c>
      <c r="L474" s="2">
        <v>6572784256</v>
      </c>
      <c r="M474" s="2" t="s">
        <v>26</v>
      </c>
      <c r="N474" s="2" t="s">
        <v>26</v>
      </c>
      <c r="O474" s="2" t="s">
        <v>26</v>
      </c>
      <c r="P474" s="2" t="s">
        <v>26</v>
      </c>
      <c r="Q474" s="2" t="s">
        <v>26</v>
      </c>
      <c r="R474" s="8" t="s">
        <v>11</v>
      </c>
    </row>
    <row r="475" spans="1:18" x14ac:dyDescent="0.3">
      <c r="A475" s="1" t="s">
        <v>2827</v>
      </c>
      <c r="B475" s="2" t="s">
        <v>2828</v>
      </c>
      <c r="C475" s="2" t="s">
        <v>2829</v>
      </c>
      <c r="D475" s="2" t="s">
        <v>2830</v>
      </c>
      <c r="E475" s="2" t="s">
        <v>2831</v>
      </c>
      <c r="F475" s="2"/>
      <c r="G475" s="2" t="s">
        <v>2832</v>
      </c>
      <c r="H475" s="2" t="s">
        <v>51</v>
      </c>
      <c r="I475" s="2">
        <v>20892</v>
      </c>
      <c r="J475" s="2" t="s">
        <v>8</v>
      </c>
      <c r="K475" s="2" t="s">
        <v>2833</v>
      </c>
      <c r="L475" s="2" t="s">
        <v>2834</v>
      </c>
      <c r="M475" s="2" t="s">
        <v>26</v>
      </c>
      <c r="N475" s="2" t="s">
        <v>26</v>
      </c>
      <c r="O475" s="2" t="s">
        <v>26</v>
      </c>
      <c r="P475" s="2" t="s">
        <v>26</v>
      </c>
      <c r="Q475" s="8" t="s">
        <v>11</v>
      </c>
      <c r="R475" s="2" t="s">
        <v>26</v>
      </c>
    </row>
    <row r="476" spans="1:18" x14ac:dyDescent="0.3">
      <c r="A476" s="1" t="s">
        <v>2835</v>
      </c>
      <c r="B476" s="2" t="s">
        <v>2836</v>
      </c>
      <c r="C476" s="2" t="s">
        <v>2837</v>
      </c>
      <c r="D476" s="2" t="s">
        <v>2838</v>
      </c>
      <c r="E476" s="2" t="s">
        <v>2839</v>
      </c>
      <c r="F476" s="2" t="s">
        <v>2840</v>
      </c>
      <c r="G476" s="2" t="s">
        <v>1930</v>
      </c>
      <c r="H476" s="2" t="s">
        <v>17</v>
      </c>
      <c r="I476" s="2">
        <v>95826</v>
      </c>
      <c r="J476" s="2" t="s">
        <v>8</v>
      </c>
      <c r="K476" s="2" t="s">
        <v>2841</v>
      </c>
      <c r="L476" s="2">
        <v>2092421826</v>
      </c>
      <c r="M476" s="8" t="s">
        <v>11</v>
      </c>
      <c r="N476" s="2" t="s">
        <v>26</v>
      </c>
      <c r="O476" s="2" t="s">
        <v>26</v>
      </c>
      <c r="P476" s="2" t="s">
        <v>26</v>
      </c>
      <c r="Q476" s="2" t="s">
        <v>26</v>
      </c>
      <c r="R476" s="2" t="s">
        <v>26</v>
      </c>
    </row>
    <row r="477" spans="1:18" x14ac:dyDescent="0.3">
      <c r="A477" s="1" t="s">
        <v>2842</v>
      </c>
      <c r="B477" s="2" t="s">
        <v>2843</v>
      </c>
      <c r="C477" s="2" t="s">
        <v>2844</v>
      </c>
      <c r="D477" s="2" t="s">
        <v>519</v>
      </c>
      <c r="E477" s="2" t="s">
        <v>2845</v>
      </c>
      <c r="F477" s="2"/>
      <c r="G477" s="2" t="s">
        <v>16</v>
      </c>
      <c r="H477" s="2" t="s">
        <v>17</v>
      </c>
      <c r="I477" s="2">
        <v>92121</v>
      </c>
      <c r="J477" s="2" t="s">
        <v>8</v>
      </c>
      <c r="K477" s="2" t="s">
        <v>2846</v>
      </c>
      <c r="L477" s="2">
        <v>2013066859</v>
      </c>
      <c r="M477" s="2" t="s">
        <v>26</v>
      </c>
      <c r="N477" s="2" t="s">
        <v>26</v>
      </c>
      <c r="O477" s="2" t="s">
        <v>26</v>
      </c>
      <c r="P477" s="8" t="s">
        <v>11</v>
      </c>
      <c r="Q477" s="2" t="s">
        <v>26</v>
      </c>
      <c r="R477" s="2" t="s">
        <v>26</v>
      </c>
    </row>
    <row r="478" spans="1:18" x14ac:dyDescent="0.3">
      <c r="A478" s="1" t="s">
        <v>2847</v>
      </c>
      <c r="B478" s="2" t="s">
        <v>2848</v>
      </c>
      <c r="C478" s="2" t="s">
        <v>78</v>
      </c>
      <c r="D478" s="2" t="s">
        <v>192</v>
      </c>
      <c r="E478" s="2" t="s">
        <v>2849</v>
      </c>
      <c r="F478" s="2"/>
      <c r="G478" s="2" t="s">
        <v>1183</v>
      </c>
      <c r="H478" s="2" t="s">
        <v>195</v>
      </c>
      <c r="I478" s="2">
        <v>10065</v>
      </c>
      <c r="J478" s="2" t="s">
        <v>8</v>
      </c>
      <c r="K478" s="2" t="s">
        <v>2850</v>
      </c>
      <c r="L478" s="2">
        <v>9297338240</v>
      </c>
      <c r="M478" s="8" t="s">
        <v>11</v>
      </c>
      <c r="N478" s="2" t="s">
        <v>26</v>
      </c>
      <c r="O478" s="2" t="s">
        <v>26</v>
      </c>
      <c r="P478" s="2" t="s">
        <v>26</v>
      </c>
      <c r="Q478" s="2" t="s">
        <v>26</v>
      </c>
      <c r="R478" s="2" t="s">
        <v>26</v>
      </c>
    </row>
    <row r="479" spans="1:18" x14ac:dyDescent="0.3">
      <c r="A479" s="1" t="s">
        <v>2851</v>
      </c>
      <c r="B479" s="2" t="s">
        <v>2852</v>
      </c>
      <c r="C479" s="2" t="s">
        <v>78</v>
      </c>
      <c r="D479" s="2" t="s">
        <v>239</v>
      </c>
      <c r="E479" s="2" t="s">
        <v>2853</v>
      </c>
      <c r="F479" s="2"/>
      <c r="G479" s="2" t="s">
        <v>241</v>
      </c>
      <c r="H479" s="2" t="s">
        <v>242</v>
      </c>
      <c r="I479" s="2">
        <v>84108</v>
      </c>
      <c r="J479" s="2" t="s">
        <v>8</v>
      </c>
      <c r="K479" s="2" t="s">
        <v>2854</v>
      </c>
      <c r="L479" s="2">
        <v>9166071512</v>
      </c>
      <c r="M479" s="8" t="s">
        <v>11</v>
      </c>
      <c r="N479" s="2" t="s">
        <v>26</v>
      </c>
      <c r="O479" s="2" t="s">
        <v>26</v>
      </c>
      <c r="P479" s="2" t="s">
        <v>26</v>
      </c>
      <c r="Q479" s="2" t="s">
        <v>26</v>
      </c>
      <c r="R479" s="2" t="s">
        <v>26</v>
      </c>
    </row>
    <row r="480" spans="1:18" x14ac:dyDescent="0.3">
      <c r="A480" s="1" t="s">
        <v>2855</v>
      </c>
      <c r="B480" s="2" t="s">
        <v>1611</v>
      </c>
      <c r="C480" s="2" t="s">
        <v>2856</v>
      </c>
      <c r="D480" s="2" t="s">
        <v>2857</v>
      </c>
      <c r="E480" s="2" t="s">
        <v>2858</v>
      </c>
      <c r="F480" s="2" t="s">
        <v>2859</v>
      </c>
      <c r="G480" s="2" t="s">
        <v>1422</v>
      </c>
      <c r="H480" s="2" t="s">
        <v>74</v>
      </c>
      <c r="I480" s="2">
        <v>34124</v>
      </c>
      <c r="J480" s="2" t="s">
        <v>1346</v>
      </c>
      <c r="K480" s="2" t="s">
        <v>2860</v>
      </c>
      <c r="L480" s="2">
        <f>82-10-4864-6554</f>
        <v>-11346</v>
      </c>
      <c r="M480" s="2" t="s">
        <v>26</v>
      </c>
      <c r="N480" s="2" t="s">
        <v>26</v>
      </c>
      <c r="O480" s="2" t="s">
        <v>26</v>
      </c>
      <c r="P480" s="8" t="s">
        <v>11</v>
      </c>
      <c r="Q480" s="2" t="s">
        <v>26</v>
      </c>
      <c r="R480" s="2" t="s">
        <v>26</v>
      </c>
    </row>
    <row r="481" spans="1:18" x14ac:dyDescent="0.3">
      <c r="A481" s="1" t="s">
        <v>2861</v>
      </c>
      <c r="B481" s="2" t="s">
        <v>2862</v>
      </c>
      <c r="C481" s="2" t="s">
        <v>70</v>
      </c>
      <c r="D481" s="2" t="s">
        <v>2816</v>
      </c>
      <c r="E481" s="2" t="s">
        <v>2863</v>
      </c>
      <c r="F481" s="2"/>
      <c r="G481" s="2" t="s">
        <v>2818</v>
      </c>
      <c r="H481" s="2" t="s">
        <v>74</v>
      </c>
      <c r="I481" s="2">
        <v>72072</v>
      </c>
      <c r="J481" s="2" t="s">
        <v>235</v>
      </c>
      <c r="K481" s="2" t="s">
        <v>2864</v>
      </c>
      <c r="L481" s="2">
        <v>7071763157</v>
      </c>
      <c r="M481" s="2" t="s">
        <v>26</v>
      </c>
      <c r="N481" s="2" t="s">
        <v>26</v>
      </c>
      <c r="O481" s="2" t="s">
        <v>26</v>
      </c>
      <c r="P481" s="8" t="s">
        <v>11</v>
      </c>
      <c r="Q481" s="2" t="s">
        <v>26</v>
      </c>
      <c r="R481" s="2" t="s">
        <v>26</v>
      </c>
    </row>
    <row r="482" spans="1:18" x14ac:dyDescent="0.3">
      <c r="A482" s="1" t="s">
        <v>2865</v>
      </c>
      <c r="B482" s="2" t="s">
        <v>2866</v>
      </c>
      <c r="C482" s="2" t="s">
        <v>544</v>
      </c>
      <c r="D482" s="2" t="s">
        <v>1744</v>
      </c>
      <c r="E482" s="2" t="s">
        <v>2351</v>
      </c>
      <c r="F482" s="2" t="s">
        <v>1746</v>
      </c>
      <c r="G482" s="2" t="s">
        <v>1747</v>
      </c>
      <c r="H482" s="2" t="s">
        <v>17</v>
      </c>
      <c r="I482" s="2">
        <v>95060</v>
      </c>
      <c r="J482" s="2" t="s">
        <v>8</v>
      </c>
      <c r="K482" s="2" t="s">
        <v>2867</v>
      </c>
      <c r="L482" s="2">
        <v>6693016117</v>
      </c>
      <c r="M482" s="2" t="s">
        <v>26</v>
      </c>
      <c r="N482" s="2" t="s">
        <v>26</v>
      </c>
      <c r="O482" s="2" t="s">
        <v>26</v>
      </c>
      <c r="P482" s="2" t="s">
        <v>26</v>
      </c>
      <c r="Q482" s="2" t="s">
        <v>26</v>
      </c>
      <c r="R482" s="2" t="s">
        <v>26</v>
      </c>
    </row>
    <row r="483" spans="1:18" x14ac:dyDescent="0.3">
      <c r="A483" s="1" t="s">
        <v>2868</v>
      </c>
      <c r="B483" s="2" t="s">
        <v>2869</v>
      </c>
      <c r="C483" s="2" t="s">
        <v>70</v>
      </c>
      <c r="D483" s="2" t="s">
        <v>2870</v>
      </c>
      <c r="E483" s="2" t="s">
        <v>2871</v>
      </c>
      <c r="F483" s="2" t="s">
        <v>2872</v>
      </c>
      <c r="G483" s="2" t="s">
        <v>881</v>
      </c>
      <c r="H483" s="2" t="s">
        <v>882</v>
      </c>
      <c r="I483" s="2">
        <v>4123</v>
      </c>
      <c r="J483" s="2" t="s">
        <v>476</v>
      </c>
      <c r="K483" s="2" t="s">
        <v>2873</v>
      </c>
      <c r="L483" s="2">
        <v>410377868</v>
      </c>
      <c r="M483" s="8" t="s">
        <v>11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</row>
    <row r="484" spans="1:18" x14ac:dyDescent="0.3">
      <c r="A484" s="1" t="s">
        <v>2874</v>
      </c>
      <c r="B484" s="2" t="s">
        <v>2875</v>
      </c>
      <c r="C484" s="2" t="s">
        <v>2876</v>
      </c>
      <c r="D484" s="2" t="s">
        <v>573</v>
      </c>
      <c r="E484" s="2" t="s">
        <v>574</v>
      </c>
      <c r="F484" s="2"/>
      <c r="G484" s="2" t="s">
        <v>575</v>
      </c>
      <c r="H484" s="2" t="s">
        <v>17</v>
      </c>
      <c r="I484" s="2">
        <v>94555</v>
      </c>
      <c r="J484" s="2" t="s">
        <v>8</v>
      </c>
      <c r="K484" s="2" t="s">
        <v>2877</v>
      </c>
      <c r="L484" s="2" t="s">
        <v>2878</v>
      </c>
      <c r="M484" s="2" t="s">
        <v>26</v>
      </c>
      <c r="N484" s="2" t="s">
        <v>26</v>
      </c>
      <c r="O484" s="2" t="s">
        <v>26</v>
      </c>
      <c r="P484" s="8" t="s">
        <v>11</v>
      </c>
      <c r="Q484" s="2" t="s">
        <v>26</v>
      </c>
      <c r="R484" s="2" t="s">
        <v>26</v>
      </c>
    </row>
    <row r="485" spans="1:18" x14ac:dyDescent="0.3">
      <c r="A485" s="1" t="s">
        <v>2879</v>
      </c>
      <c r="B485" s="2" t="s">
        <v>2880</v>
      </c>
      <c r="C485" s="2" t="s">
        <v>78</v>
      </c>
      <c r="D485" s="2" t="s">
        <v>1738</v>
      </c>
      <c r="E485" s="2" t="s">
        <v>2881</v>
      </c>
      <c r="F485" s="2"/>
      <c r="G485" s="2" t="s">
        <v>1740</v>
      </c>
      <c r="H485" s="2" t="s">
        <v>242</v>
      </c>
      <c r="I485" s="2">
        <v>84606</v>
      </c>
      <c r="J485" s="2" t="s">
        <v>8</v>
      </c>
      <c r="K485" s="2" t="s">
        <v>2882</v>
      </c>
      <c r="L485" s="2">
        <v>8018748604</v>
      </c>
      <c r="M485" s="8" t="s">
        <v>11</v>
      </c>
      <c r="N485" s="2" t="s">
        <v>26</v>
      </c>
      <c r="O485" s="2" t="s">
        <v>26</v>
      </c>
      <c r="P485" s="2" t="s">
        <v>26</v>
      </c>
      <c r="Q485" s="2" t="s">
        <v>26</v>
      </c>
      <c r="R485" s="2" t="s">
        <v>26</v>
      </c>
    </row>
    <row r="486" spans="1:18" x14ac:dyDescent="0.3">
      <c r="A486" s="1" t="s">
        <v>2883</v>
      </c>
      <c r="B486" s="2" t="s">
        <v>2884</v>
      </c>
      <c r="C486" s="2" t="s">
        <v>407</v>
      </c>
      <c r="D486" s="2" t="s">
        <v>239</v>
      </c>
      <c r="E486" s="2" t="s">
        <v>2885</v>
      </c>
      <c r="F486" s="2"/>
      <c r="G486" s="2" t="s">
        <v>241</v>
      </c>
      <c r="H486" s="2" t="s">
        <v>242</v>
      </c>
      <c r="I486" s="2">
        <v>84112</v>
      </c>
      <c r="J486" s="2" t="s">
        <v>8</v>
      </c>
      <c r="K486" s="2" t="s">
        <v>2886</v>
      </c>
      <c r="L486" s="2">
        <v>5419544056</v>
      </c>
      <c r="M486" s="2" t="s">
        <v>26</v>
      </c>
      <c r="N486" s="2" t="s">
        <v>26</v>
      </c>
      <c r="O486" s="2" t="s">
        <v>26</v>
      </c>
      <c r="P486" s="2" t="s">
        <v>26</v>
      </c>
      <c r="Q486" s="2" t="s">
        <v>26</v>
      </c>
      <c r="R486" s="2" t="s">
        <v>26</v>
      </c>
    </row>
    <row r="487" spans="1:18" x14ac:dyDescent="0.3">
      <c r="A487" s="1" t="s">
        <v>2887</v>
      </c>
      <c r="B487" s="2" t="s">
        <v>2888</v>
      </c>
      <c r="C487" s="2" t="s">
        <v>253</v>
      </c>
      <c r="D487" s="2" t="s">
        <v>2889</v>
      </c>
      <c r="E487" s="2" t="s">
        <v>2890</v>
      </c>
      <c r="F487" s="2"/>
      <c r="G487" s="2" t="s">
        <v>2891</v>
      </c>
      <c r="H487" s="2" t="s">
        <v>180</v>
      </c>
      <c r="I487" s="2">
        <v>68178</v>
      </c>
      <c r="J487" s="2" t="s">
        <v>8</v>
      </c>
      <c r="K487" s="2" t="s">
        <v>2892</v>
      </c>
      <c r="L487" s="2" t="s">
        <v>2893</v>
      </c>
      <c r="M487" s="2" t="s">
        <v>26</v>
      </c>
      <c r="N487" s="2" t="s">
        <v>26</v>
      </c>
      <c r="O487" s="2" t="s">
        <v>26</v>
      </c>
      <c r="P487" s="2" t="s">
        <v>26</v>
      </c>
      <c r="Q487" s="8" t="s">
        <v>11</v>
      </c>
      <c r="R487" s="2" t="s">
        <v>26</v>
      </c>
    </row>
    <row r="488" spans="1:18" x14ac:dyDescent="0.3">
      <c r="A488" s="1" t="s">
        <v>2894</v>
      </c>
      <c r="B488" s="2" t="s">
        <v>2895</v>
      </c>
      <c r="C488" s="2" t="s">
        <v>253</v>
      </c>
      <c r="D488" s="2" t="s">
        <v>2896</v>
      </c>
      <c r="E488" s="2" t="s">
        <v>2897</v>
      </c>
      <c r="F488" s="2" t="s">
        <v>2898</v>
      </c>
      <c r="G488" s="2" t="s">
        <v>2899</v>
      </c>
      <c r="H488" s="2" t="s">
        <v>74</v>
      </c>
      <c r="I488" s="2">
        <v>16419</v>
      </c>
      <c r="J488" s="2" t="s">
        <v>1346</v>
      </c>
      <c r="K488" s="2" t="s">
        <v>2900</v>
      </c>
      <c r="L488" s="2">
        <v>312907703</v>
      </c>
      <c r="M488" s="2" t="s">
        <v>26</v>
      </c>
      <c r="N488" s="2" t="s">
        <v>26</v>
      </c>
      <c r="O488" s="2" t="s">
        <v>26</v>
      </c>
      <c r="P488" s="2" t="s">
        <v>26</v>
      </c>
      <c r="Q488" s="8" t="s">
        <v>11</v>
      </c>
      <c r="R488" s="2" t="s">
        <v>26</v>
      </c>
    </row>
    <row r="489" spans="1:18" x14ac:dyDescent="0.3">
      <c r="A489" s="1" t="s">
        <v>2901</v>
      </c>
      <c r="B489" s="2" t="s">
        <v>2902</v>
      </c>
      <c r="C489" s="2" t="s">
        <v>2903</v>
      </c>
      <c r="D489" s="2" t="s">
        <v>2904</v>
      </c>
      <c r="E489" s="2" t="s">
        <v>2905</v>
      </c>
      <c r="F489" s="2"/>
      <c r="G489" s="2" t="s">
        <v>1832</v>
      </c>
      <c r="H489" s="2" t="s">
        <v>74</v>
      </c>
      <c r="I489" s="2">
        <v>500078</v>
      </c>
      <c r="J489" s="2" t="s">
        <v>36</v>
      </c>
      <c r="K489" s="2" t="s">
        <v>2906</v>
      </c>
      <c r="L489" s="2" t="s">
        <v>2907</v>
      </c>
      <c r="M489" s="2" t="s">
        <v>26</v>
      </c>
      <c r="N489" s="2" t="s">
        <v>26</v>
      </c>
      <c r="O489" s="2" t="s">
        <v>26</v>
      </c>
      <c r="P489" s="8" t="s">
        <v>11</v>
      </c>
      <c r="Q489" s="2" t="s">
        <v>26</v>
      </c>
      <c r="R489" s="2" t="s">
        <v>26</v>
      </c>
    </row>
    <row r="490" spans="1:18" x14ac:dyDescent="0.3">
      <c r="A490" s="1" t="s">
        <v>2908</v>
      </c>
      <c r="B490" s="2" t="s">
        <v>2909</v>
      </c>
      <c r="C490" s="2" t="s">
        <v>599</v>
      </c>
      <c r="D490" s="2" t="s">
        <v>951</v>
      </c>
      <c r="E490" s="2" t="s">
        <v>2910</v>
      </c>
      <c r="F490" s="2"/>
      <c r="G490" s="2" t="s">
        <v>2911</v>
      </c>
      <c r="H490" s="2" t="s">
        <v>17</v>
      </c>
      <c r="I490" s="2">
        <v>94070</v>
      </c>
      <c r="J490" s="2" t="s">
        <v>8</v>
      </c>
      <c r="K490" s="2" t="s">
        <v>2912</v>
      </c>
      <c r="L490" s="2">
        <v>6506765151</v>
      </c>
      <c r="M490" s="2" t="s">
        <v>26</v>
      </c>
      <c r="N490" s="2" t="s">
        <v>26</v>
      </c>
      <c r="O490" s="2" t="s">
        <v>26</v>
      </c>
      <c r="P490" s="8" t="s">
        <v>11</v>
      </c>
      <c r="Q490" s="2" t="s">
        <v>26</v>
      </c>
      <c r="R490" s="2" t="s">
        <v>26</v>
      </c>
    </row>
    <row r="491" spans="1:18" x14ac:dyDescent="0.3">
      <c r="A491" s="1" t="s">
        <v>2913</v>
      </c>
      <c r="B491" s="2" t="s">
        <v>2914</v>
      </c>
      <c r="C491" s="2" t="s">
        <v>2915</v>
      </c>
      <c r="D491" s="2" t="s">
        <v>2916</v>
      </c>
      <c r="E491" s="2" t="s">
        <v>2917</v>
      </c>
      <c r="F491" s="2"/>
      <c r="G491" s="2" t="s">
        <v>1492</v>
      </c>
      <c r="H491" s="2" t="s">
        <v>74</v>
      </c>
      <c r="I491" s="2">
        <v>560100</v>
      </c>
      <c r="J491" s="2" t="s">
        <v>36</v>
      </c>
      <c r="K491" s="2" t="s">
        <v>2918</v>
      </c>
      <c r="L491" s="2">
        <v>919880258258</v>
      </c>
      <c r="M491" s="2" t="s">
        <v>26</v>
      </c>
      <c r="N491" s="2" t="s">
        <v>26</v>
      </c>
      <c r="O491" s="2" t="s">
        <v>26</v>
      </c>
      <c r="P491" s="2" t="s">
        <v>26</v>
      </c>
      <c r="Q491" s="2" t="s">
        <v>26</v>
      </c>
      <c r="R491" s="2" t="s">
        <v>26</v>
      </c>
    </row>
    <row r="492" spans="1:18" x14ac:dyDescent="0.3">
      <c r="A492" s="1" t="s">
        <v>2919</v>
      </c>
      <c r="B492" s="2" t="s">
        <v>2920</v>
      </c>
      <c r="C492" s="2" t="s">
        <v>2921</v>
      </c>
      <c r="D492" s="2" t="s">
        <v>2922</v>
      </c>
      <c r="E492" s="2" t="s">
        <v>2923</v>
      </c>
      <c r="F492" s="2"/>
      <c r="G492" s="2" t="s">
        <v>2924</v>
      </c>
      <c r="H492" s="2" t="s">
        <v>1022</v>
      </c>
      <c r="I492" s="2">
        <v>6511</v>
      </c>
      <c r="J492" s="2" t="s">
        <v>8</v>
      </c>
      <c r="K492" s="2" t="s">
        <v>2925</v>
      </c>
      <c r="L492" s="2" t="s">
        <v>2926</v>
      </c>
      <c r="M492" s="2" t="s">
        <v>26</v>
      </c>
      <c r="N492" s="2" t="s">
        <v>26</v>
      </c>
      <c r="O492" s="2" t="s">
        <v>26</v>
      </c>
      <c r="P492" s="2" t="s">
        <v>26</v>
      </c>
      <c r="Q492" s="8" t="s">
        <v>11</v>
      </c>
      <c r="R492" s="2" t="s">
        <v>26</v>
      </c>
    </row>
    <row r="493" spans="1:18" x14ac:dyDescent="0.3">
      <c r="A493" s="1" t="s">
        <v>2927</v>
      </c>
      <c r="B493" s="2" t="s">
        <v>2862</v>
      </c>
      <c r="C493" s="2" t="s">
        <v>238</v>
      </c>
      <c r="D493" s="2" t="s">
        <v>2816</v>
      </c>
      <c r="E493" s="2" t="s">
        <v>2863</v>
      </c>
      <c r="F493" s="2"/>
      <c r="G493" s="2" t="s">
        <v>2818</v>
      </c>
      <c r="H493" s="2" t="s">
        <v>74</v>
      </c>
      <c r="I493" s="2">
        <v>72072</v>
      </c>
      <c r="J493" s="2" t="s">
        <v>235</v>
      </c>
      <c r="K493" s="2" t="s">
        <v>2864</v>
      </c>
      <c r="L493" s="2">
        <v>7071763157</v>
      </c>
      <c r="M493" s="2" t="s">
        <v>26</v>
      </c>
      <c r="N493" s="2" t="s">
        <v>26</v>
      </c>
      <c r="O493" s="2" t="s">
        <v>26</v>
      </c>
      <c r="P493" s="8" t="s">
        <v>11</v>
      </c>
      <c r="Q493" s="2" t="s">
        <v>26</v>
      </c>
      <c r="R493" s="2" t="s">
        <v>26</v>
      </c>
    </row>
    <row r="494" spans="1:18" x14ac:dyDescent="0.3">
      <c r="A494" s="1" t="s">
        <v>2928</v>
      </c>
      <c r="B494" s="2" t="s">
        <v>2929</v>
      </c>
      <c r="C494" s="2" t="s">
        <v>385</v>
      </c>
      <c r="D494" s="2" t="s">
        <v>2930</v>
      </c>
      <c r="E494" s="2" t="s">
        <v>2931</v>
      </c>
      <c r="F494" s="2" t="s">
        <v>2932</v>
      </c>
      <c r="G494" s="2" t="s">
        <v>591</v>
      </c>
      <c r="H494" s="2" t="s">
        <v>250</v>
      </c>
      <c r="I494" s="2">
        <v>77801</v>
      </c>
      <c r="J494" s="2" t="s">
        <v>8</v>
      </c>
      <c r="K494" s="2" t="s">
        <v>2933</v>
      </c>
      <c r="L494" s="2">
        <v>9793263222</v>
      </c>
      <c r="M494" s="8" t="s">
        <v>11</v>
      </c>
      <c r="N494" s="2" t="s">
        <v>26</v>
      </c>
      <c r="O494" s="2" t="s">
        <v>26</v>
      </c>
      <c r="P494" s="2" t="s">
        <v>26</v>
      </c>
      <c r="Q494" s="2" t="s">
        <v>26</v>
      </c>
      <c r="R494" s="2" t="s">
        <v>26</v>
      </c>
    </row>
    <row r="495" spans="1:18" x14ac:dyDescent="0.3">
      <c r="A495" s="1" t="s">
        <v>2934</v>
      </c>
      <c r="B495" s="2" t="s">
        <v>2327</v>
      </c>
      <c r="C495" s="2" t="s">
        <v>2935</v>
      </c>
      <c r="D495" s="2" t="s">
        <v>1510</v>
      </c>
      <c r="E495" s="2" t="s">
        <v>2936</v>
      </c>
      <c r="F495" s="2"/>
      <c r="G495" s="2" t="s">
        <v>2937</v>
      </c>
      <c r="H495" s="2" t="s">
        <v>74</v>
      </c>
      <c r="I495" s="2">
        <v>33662</v>
      </c>
      <c r="J495" s="2" t="s">
        <v>1346</v>
      </c>
      <c r="K495" s="2" t="s">
        <v>2938</v>
      </c>
      <c r="L495" s="2" t="s">
        <v>2939</v>
      </c>
      <c r="M495" s="2" t="s">
        <v>26</v>
      </c>
      <c r="N495" s="2" t="s">
        <v>26</v>
      </c>
      <c r="O495" s="2" t="s">
        <v>26</v>
      </c>
      <c r="P495" s="2" t="s">
        <v>26</v>
      </c>
      <c r="Q495" s="8" t="s">
        <v>11</v>
      </c>
      <c r="R495" s="2" t="s">
        <v>26</v>
      </c>
    </row>
    <row r="496" spans="1:18" x14ac:dyDescent="0.3">
      <c r="A496" s="1" t="s">
        <v>2940</v>
      </c>
      <c r="B496" s="2" t="s">
        <v>2941</v>
      </c>
      <c r="C496" s="2" t="s">
        <v>61</v>
      </c>
      <c r="D496" s="2" t="s">
        <v>386</v>
      </c>
      <c r="E496" s="2" t="s">
        <v>645</v>
      </c>
      <c r="F496" s="2"/>
      <c r="G496" s="2" t="s">
        <v>389</v>
      </c>
      <c r="H496" s="2" t="s">
        <v>34</v>
      </c>
      <c r="I496" s="2">
        <v>47907</v>
      </c>
      <c r="J496" s="2" t="s">
        <v>8</v>
      </c>
      <c r="K496" s="2" t="s">
        <v>2942</v>
      </c>
      <c r="L496" s="2" t="s">
        <v>2943</v>
      </c>
      <c r="M496" s="2" t="s">
        <v>26</v>
      </c>
      <c r="N496" s="2" t="s">
        <v>26</v>
      </c>
      <c r="O496" s="2" t="s">
        <v>26</v>
      </c>
      <c r="P496" s="2" t="s">
        <v>26</v>
      </c>
      <c r="Q496" s="8" t="s">
        <v>11</v>
      </c>
      <c r="R496" s="2" t="s">
        <v>26</v>
      </c>
    </row>
    <row r="497" spans="1:18" x14ac:dyDescent="0.3">
      <c r="A497" s="1" t="s">
        <v>2944</v>
      </c>
      <c r="B497" s="2" t="s">
        <v>2945</v>
      </c>
      <c r="C497" s="2" t="s">
        <v>1224</v>
      </c>
      <c r="D497" s="2" t="s">
        <v>192</v>
      </c>
      <c r="E497" s="2" t="s">
        <v>2946</v>
      </c>
      <c r="F497" s="2"/>
      <c r="G497" s="2" t="s">
        <v>2947</v>
      </c>
      <c r="H497" s="2" t="s">
        <v>195</v>
      </c>
      <c r="I497" s="2">
        <v>11004</v>
      </c>
      <c r="J497" s="2" t="s">
        <v>8</v>
      </c>
      <c r="K497" s="2" t="s">
        <v>2948</v>
      </c>
      <c r="L497" s="2">
        <v>6469346929</v>
      </c>
      <c r="M497" s="8" t="s">
        <v>11</v>
      </c>
      <c r="N497" s="2" t="s">
        <v>26</v>
      </c>
      <c r="O497" s="2" t="s">
        <v>26</v>
      </c>
      <c r="P497" s="2" t="s">
        <v>26</v>
      </c>
      <c r="Q497" s="2" t="s">
        <v>26</v>
      </c>
      <c r="R497" s="2" t="s">
        <v>26</v>
      </c>
    </row>
    <row r="498" spans="1:18" x14ac:dyDescent="0.3">
      <c r="A498" s="1" t="s">
        <v>2949</v>
      </c>
      <c r="B498" s="2" t="s">
        <v>2950</v>
      </c>
      <c r="C498" s="2" t="s">
        <v>1728</v>
      </c>
      <c r="D498" s="2" t="s">
        <v>832</v>
      </c>
      <c r="E498" s="2" t="s">
        <v>1729</v>
      </c>
      <c r="F498" s="2"/>
      <c r="G498" s="2" t="s">
        <v>834</v>
      </c>
      <c r="H498" s="2" t="s">
        <v>403</v>
      </c>
      <c r="I498" s="2" t="s">
        <v>1730</v>
      </c>
      <c r="J498" s="2" t="s">
        <v>8</v>
      </c>
      <c r="K498" s="2" t="s">
        <v>2951</v>
      </c>
      <c r="L498" s="2" t="s">
        <v>836</v>
      </c>
      <c r="M498" s="2" t="s">
        <v>26</v>
      </c>
      <c r="N498" s="2" t="s">
        <v>26</v>
      </c>
      <c r="O498" s="2" t="s">
        <v>26</v>
      </c>
      <c r="P498" s="8" t="s">
        <v>11</v>
      </c>
      <c r="Q498" s="2" t="s">
        <v>26</v>
      </c>
      <c r="R498" s="2" t="s">
        <v>26</v>
      </c>
    </row>
    <row r="499" spans="1:18" x14ac:dyDescent="0.3">
      <c r="A499" s="1" t="s">
        <v>2952</v>
      </c>
      <c r="B499" s="2" t="s">
        <v>687</v>
      </c>
      <c r="C499" s="2" t="s">
        <v>2953</v>
      </c>
      <c r="D499" s="2" t="s">
        <v>2954</v>
      </c>
      <c r="E499" s="2" t="s">
        <v>2955</v>
      </c>
      <c r="F499" s="2" t="s">
        <v>788</v>
      </c>
      <c r="G499" s="2" t="s">
        <v>662</v>
      </c>
      <c r="H499" s="2" t="s">
        <v>663</v>
      </c>
      <c r="I499" s="2">
        <v>98122</v>
      </c>
      <c r="J499" s="2" t="s">
        <v>8</v>
      </c>
      <c r="K499" s="2" t="s">
        <v>2956</v>
      </c>
      <c r="L499" s="2">
        <v>9192598989</v>
      </c>
      <c r="M499" s="2" t="s">
        <v>26</v>
      </c>
      <c r="N499" s="2" t="s">
        <v>26</v>
      </c>
      <c r="O499" s="2" t="s">
        <v>26</v>
      </c>
      <c r="P499" s="8" t="s">
        <v>11</v>
      </c>
      <c r="Q499" s="2" t="s">
        <v>26</v>
      </c>
      <c r="R499" s="2" t="s">
        <v>26</v>
      </c>
    </row>
    <row r="500" spans="1:18" x14ac:dyDescent="0.3">
      <c r="A500" s="1" t="s">
        <v>2957</v>
      </c>
      <c r="B500" s="2" t="s">
        <v>2958</v>
      </c>
      <c r="C500" s="2" t="s">
        <v>29</v>
      </c>
      <c r="D500" s="2" t="s">
        <v>2959</v>
      </c>
      <c r="E500" s="2" t="s">
        <v>2960</v>
      </c>
      <c r="F500" s="2"/>
      <c r="G500" s="2" t="s">
        <v>1277</v>
      </c>
      <c r="H500" s="2" t="s">
        <v>74</v>
      </c>
      <c r="I500" s="2" t="s">
        <v>2961</v>
      </c>
      <c r="J500" s="2" t="s">
        <v>417</v>
      </c>
      <c r="K500" s="2" t="s">
        <v>2962</v>
      </c>
      <c r="L500" s="2">
        <f>81-42-367-5863</f>
        <v>-6191</v>
      </c>
      <c r="M500" s="2" t="s">
        <v>26</v>
      </c>
      <c r="N500" s="2" t="s">
        <v>26</v>
      </c>
      <c r="O500" s="8" t="s">
        <v>11</v>
      </c>
      <c r="P500" s="2" t="s">
        <v>26</v>
      </c>
      <c r="Q500" s="2" t="s">
        <v>26</v>
      </c>
      <c r="R500" s="2" t="s">
        <v>26</v>
      </c>
    </row>
    <row r="501" spans="1:18" x14ac:dyDescent="0.3">
      <c r="A501" s="1" t="s">
        <v>2963</v>
      </c>
      <c r="B501" s="2" t="s">
        <v>2964</v>
      </c>
      <c r="C501" s="2" t="s">
        <v>78</v>
      </c>
      <c r="D501" s="2" t="s">
        <v>1174</v>
      </c>
      <c r="E501" s="2" t="s">
        <v>2965</v>
      </c>
      <c r="F501" s="2"/>
      <c r="G501" s="2" t="s">
        <v>2966</v>
      </c>
      <c r="H501" s="2" t="s">
        <v>250</v>
      </c>
      <c r="I501" s="2">
        <v>77840</v>
      </c>
      <c r="J501" s="2" t="s">
        <v>8</v>
      </c>
      <c r="K501" s="2" t="s">
        <v>2967</v>
      </c>
      <c r="L501" s="2">
        <v>9797212457</v>
      </c>
      <c r="M501" s="8" t="s">
        <v>11</v>
      </c>
      <c r="N501" s="2" t="s">
        <v>26</v>
      </c>
      <c r="O501" s="2" t="s">
        <v>26</v>
      </c>
      <c r="P501" s="2" t="s">
        <v>26</v>
      </c>
      <c r="Q501" s="2" t="s">
        <v>26</v>
      </c>
      <c r="R501" s="2" t="s">
        <v>26</v>
      </c>
    </row>
    <row r="502" spans="1:18" x14ac:dyDescent="0.3">
      <c r="A502" s="1" t="s">
        <v>2968</v>
      </c>
      <c r="B502" s="2" t="s">
        <v>2969</v>
      </c>
      <c r="C502" s="2" t="s">
        <v>29</v>
      </c>
      <c r="D502" s="2" t="s">
        <v>2738</v>
      </c>
      <c r="E502" s="2" t="s">
        <v>2831</v>
      </c>
      <c r="F502" s="2" t="s">
        <v>2970</v>
      </c>
      <c r="G502" s="2" t="s">
        <v>2832</v>
      </c>
      <c r="H502" s="2" t="s">
        <v>51</v>
      </c>
      <c r="I502" s="2">
        <v>20892</v>
      </c>
      <c r="J502" s="2" t="s">
        <v>8</v>
      </c>
      <c r="K502" s="2" t="s">
        <v>2971</v>
      </c>
      <c r="L502" s="2">
        <v>2402346353</v>
      </c>
      <c r="M502" s="2" t="s">
        <v>26</v>
      </c>
      <c r="N502" s="2" t="s">
        <v>26</v>
      </c>
      <c r="O502" s="8" t="s">
        <v>11</v>
      </c>
      <c r="P502" s="2" t="s">
        <v>26</v>
      </c>
      <c r="Q502" s="2" t="s">
        <v>26</v>
      </c>
      <c r="R502" s="2" t="s">
        <v>26</v>
      </c>
    </row>
    <row r="503" spans="1:18" x14ac:dyDescent="0.3">
      <c r="A503" s="1" t="s">
        <v>2972</v>
      </c>
      <c r="B503" s="2" t="s">
        <v>2973</v>
      </c>
      <c r="C503" s="2" t="s">
        <v>280</v>
      </c>
      <c r="D503" s="2" t="s">
        <v>2974</v>
      </c>
      <c r="E503" s="2" t="s">
        <v>2975</v>
      </c>
      <c r="F503" s="2"/>
      <c r="G503" s="2" t="s">
        <v>2976</v>
      </c>
      <c r="H503" s="2" t="s">
        <v>74</v>
      </c>
      <c r="I503" s="2">
        <v>1920392</v>
      </c>
      <c r="J503" s="2" t="s">
        <v>417</v>
      </c>
      <c r="K503" s="2" t="s">
        <v>2977</v>
      </c>
      <c r="L503" s="2">
        <v>81426763278</v>
      </c>
      <c r="M503" s="2" t="s">
        <v>26</v>
      </c>
      <c r="N503" s="2" t="s">
        <v>26</v>
      </c>
      <c r="O503" s="2" t="s">
        <v>26</v>
      </c>
      <c r="P503" s="2" t="s">
        <v>26</v>
      </c>
      <c r="Q503" s="8" t="s">
        <v>11</v>
      </c>
      <c r="R503" s="2" t="s">
        <v>26</v>
      </c>
    </row>
    <row r="504" spans="1:18" x14ac:dyDescent="0.3">
      <c r="A504" s="1" t="s">
        <v>2978</v>
      </c>
      <c r="B504" s="2" t="s">
        <v>2979</v>
      </c>
      <c r="C504" s="2" t="s">
        <v>329</v>
      </c>
      <c r="D504" s="2" t="s">
        <v>2980</v>
      </c>
      <c r="E504" s="2" t="s">
        <v>2981</v>
      </c>
      <c r="F504" s="2"/>
      <c r="G504" s="2" t="s">
        <v>2982</v>
      </c>
      <c r="H504" s="2" t="s">
        <v>74</v>
      </c>
      <c r="I504" s="2">
        <v>6188585</v>
      </c>
      <c r="J504" s="2" t="s">
        <v>417</v>
      </c>
      <c r="K504" s="2" t="s">
        <v>2983</v>
      </c>
      <c r="L504" s="2">
        <f>81-7078139905</f>
        <v>-7078139824</v>
      </c>
      <c r="M504" s="2" t="s">
        <v>26</v>
      </c>
      <c r="N504" s="2" t="s">
        <v>26</v>
      </c>
      <c r="O504" s="2" t="s">
        <v>26</v>
      </c>
      <c r="P504" s="8" t="s">
        <v>11</v>
      </c>
      <c r="Q504" s="2" t="s">
        <v>26</v>
      </c>
      <c r="R504" s="2" t="s">
        <v>26</v>
      </c>
    </row>
    <row r="505" spans="1:18" x14ac:dyDescent="0.3">
      <c r="A505" s="1" t="s">
        <v>2984</v>
      </c>
      <c r="B505" s="2" t="s">
        <v>1940</v>
      </c>
      <c r="C505" s="2" t="s">
        <v>385</v>
      </c>
      <c r="D505" s="2" t="s">
        <v>2985</v>
      </c>
      <c r="E505" s="2" t="s">
        <v>1895</v>
      </c>
      <c r="F505" s="2"/>
      <c r="G505" s="2" t="s">
        <v>1896</v>
      </c>
      <c r="H505" s="2" t="s">
        <v>74</v>
      </c>
      <c r="I505" s="2">
        <v>6500047</v>
      </c>
      <c r="J505" s="2" t="s">
        <v>417</v>
      </c>
      <c r="K505" s="2" t="s">
        <v>2986</v>
      </c>
      <c r="L505" s="2">
        <v>81783031418</v>
      </c>
      <c r="M505" s="8" t="s">
        <v>11</v>
      </c>
      <c r="N505" s="2" t="s">
        <v>26</v>
      </c>
      <c r="O505" s="2" t="s">
        <v>26</v>
      </c>
      <c r="P505" s="2" t="s">
        <v>26</v>
      </c>
      <c r="Q505" s="2" t="s">
        <v>26</v>
      </c>
      <c r="R505" s="2" t="s">
        <v>26</v>
      </c>
    </row>
    <row r="506" spans="1:18" x14ac:dyDescent="0.3">
      <c r="A506" s="1" t="s">
        <v>2987</v>
      </c>
      <c r="B506" s="2" t="s">
        <v>2988</v>
      </c>
      <c r="C506" s="2" t="s">
        <v>342</v>
      </c>
      <c r="D506" s="2" t="s">
        <v>386</v>
      </c>
      <c r="E506" s="2" t="s">
        <v>2989</v>
      </c>
      <c r="F506" s="2"/>
      <c r="G506" s="2" t="s">
        <v>389</v>
      </c>
      <c r="H506" s="2" t="s">
        <v>34</v>
      </c>
      <c r="I506" s="2">
        <v>47907</v>
      </c>
      <c r="J506" s="2" t="s">
        <v>8</v>
      </c>
      <c r="K506" s="2" t="s">
        <v>2990</v>
      </c>
      <c r="L506" s="2">
        <v>8065845157</v>
      </c>
      <c r="M506" s="2" t="s">
        <v>26</v>
      </c>
      <c r="N506" s="2" t="s">
        <v>26</v>
      </c>
      <c r="O506" s="8" t="s">
        <v>11</v>
      </c>
      <c r="P506" s="2" t="s">
        <v>26</v>
      </c>
      <c r="Q506" s="2" t="s">
        <v>26</v>
      </c>
      <c r="R506" s="2" t="s">
        <v>26</v>
      </c>
    </row>
    <row r="507" spans="1:18" x14ac:dyDescent="0.3">
      <c r="A507" s="1" t="s">
        <v>2991</v>
      </c>
      <c r="B507" s="2" t="s">
        <v>2992</v>
      </c>
      <c r="C507" s="2" t="s">
        <v>29</v>
      </c>
      <c r="D507" s="2" t="s">
        <v>451</v>
      </c>
      <c r="E507" s="2" t="s">
        <v>2993</v>
      </c>
      <c r="F507" s="2" t="s">
        <v>452</v>
      </c>
      <c r="G507" s="2" t="s">
        <v>453</v>
      </c>
      <c r="H507" s="2" t="s">
        <v>74</v>
      </c>
      <c r="I507" s="2">
        <v>4001</v>
      </c>
      <c r="J507" s="2" t="s">
        <v>454</v>
      </c>
      <c r="K507" s="2" t="s">
        <v>2994</v>
      </c>
      <c r="L507" s="2">
        <v>27732445878</v>
      </c>
      <c r="M507" s="2" t="s">
        <v>26</v>
      </c>
      <c r="N507" s="2" t="s">
        <v>26</v>
      </c>
      <c r="O507" s="8" t="s">
        <v>11</v>
      </c>
      <c r="P507" s="2" t="s">
        <v>26</v>
      </c>
      <c r="Q507" s="2" t="s">
        <v>26</v>
      </c>
      <c r="R507" s="2" t="s">
        <v>26</v>
      </c>
    </row>
    <row r="508" spans="1:18" x14ac:dyDescent="0.3">
      <c r="A508" s="1" t="s">
        <v>2995</v>
      </c>
      <c r="B508" s="2" t="s">
        <v>2996</v>
      </c>
      <c r="C508" s="2" t="s">
        <v>2112</v>
      </c>
      <c r="D508" s="2" t="s">
        <v>2997</v>
      </c>
      <c r="E508" s="2" t="s">
        <v>2998</v>
      </c>
      <c r="F508" s="2"/>
      <c r="G508" s="2" t="s">
        <v>2999</v>
      </c>
      <c r="H508" s="2" t="s">
        <v>74</v>
      </c>
      <c r="I508" s="2">
        <v>50019</v>
      </c>
      <c r="J508" s="2" t="s">
        <v>325</v>
      </c>
      <c r="K508" s="2" t="s">
        <v>3000</v>
      </c>
      <c r="L508" s="2">
        <v>390554573564</v>
      </c>
      <c r="M508" s="8" t="s">
        <v>11</v>
      </c>
      <c r="N508" s="2" t="s">
        <v>26</v>
      </c>
      <c r="O508" s="2" t="s">
        <v>26</v>
      </c>
      <c r="P508" s="2" t="s">
        <v>26</v>
      </c>
      <c r="Q508" s="2" t="s">
        <v>26</v>
      </c>
      <c r="R508" s="2" t="s">
        <v>26</v>
      </c>
    </row>
    <row r="509" spans="1:18" x14ac:dyDescent="0.3">
      <c r="A509" s="1" t="s">
        <v>3001</v>
      </c>
      <c r="B509" s="2" t="s">
        <v>3002</v>
      </c>
      <c r="C509" s="2" t="s">
        <v>385</v>
      </c>
      <c r="D509" s="2" t="s">
        <v>3003</v>
      </c>
      <c r="E509" s="2" t="s">
        <v>1125</v>
      </c>
      <c r="F509" s="2"/>
      <c r="G509" s="2" t="s">
        <v>1126</v>
      </c>
      <c r="H509" s="2" t="s">
        <v>74</v>
      </c>
      <c r="I509" s="2">
        <v>91052</v>
      </c>
      <c r="J509" s="2" t="s">
        <v>235</v>
      </c>
      <c r="K509" s="2" t="s">
        <v>3004</v>
      </c>
      <c r="L509" s="2" t="s">
        <v>3005</v>
      </c>
      <c r="M509" s="8" t="s">
        <v>11</v>
      </c>
      <c r="N509" s="2" t="s">
        <v>26</v>
      </c>
      <c r="O509" s="2" t="s">
        <v>26</v>
      </c>
      <c r="P509" s="2" t="s">
        <v>26</v>
      </c>
      <c r="Q509" s="2" t="s">
        <v>26</v>
      </c>
      <c r="R509" s="2" t="s">
        <v>26</v>
      </c>
    </row>
    <row r="510" spans="1:18" x14ac:dyDescent="0.3">
      <c r="A510" s="1" t="s">
        <v>3006</v>
      </c>
      <c r="B510" s="2" t="s">
        <v>3007</v>
      </c>
      <c r="C510" s="2" t="s">
        <v>102</v>
      </c>
      <c r="D510" s="2" t="s">
        <v>2228</v>
      </c>
      <c r="E510" s="2" t="s">
        <v>3008</v>
      </c>
      <c r="F510" s="2" t="s">
        <v>3009</v>
      </c>
      <c r="G510" s="2" t="s">
        <v>6</v>
      </c>
      <c r="H510" s="2" t="s">
        <v>74</v>
      </c>
      <c r="I510" s="2" t="s">
        <v>2231</v>
      </c>
      <c r="J510" s="2" t="s">
        <v>258</v>
      </c>
      <c r="K510" s="2" t="s">
        <v>3010</v>
      </c>
      <c r="L510" s="2">
        <v>447814143401</v>
      </c>
      <c r="M510" s="2" t="s">
        <v>26</v>
      </c>
      <c r="N510" s="2" t="s">
        <v>26</v>
      </c>
      <c r="O510" s="2" t="s">
        <v>26</v>
      </c>
      <c r="P510" s="2" t="s">
        <v>26</v>
      </c>
      <c r="Q510" s="2" t="s">
        <v>26</v>
      </c>
      <c r="R510" s="2" t="s">
        <v>26</v>
      </c>
    </row>
    <row r="511" spans="1:18" x14ac:dyDescent="0.3">
      <c r="A511" s="1" t="s">
        <v>3011</v>
      </c>
      <c r="B511" s="2" t="s">
        <v>3012</v>
      </c>
      <c r="C511" s="2" t="s">
        <v>280</v>
      </c>
      <c r="D511" s="2" t="s">
        <v>2119</v>
      </c>
      <c r="E511" s="2" t="s">
        <v>3013</v>
      </c>
      <c r="F511" s="2"/>
      <c r="G511" s="2" t="s">
        <v>3014</v>
      </c>
      <c r="H511" s="2" t="s">
        <v>403</v>
      </c>
      <c r="I511" s="2">
        <v>28412</v>
      </c>
      <c r="J511" s="2" t="s">
        <v>8</v>
      </c>
      <c r="K511" s="2" t="s">
        <v>3015</v>
      </c>
      <c r="L511" s="2">
        <v>5616986410</v>
      </c>
      <c r="M511" s="2" t="s">
        <v>26</v>
      </c>
      <c r="N511" s="2" t="s">
        <v>26</v>
      </c>
      <c r="O511" s="2" t="s">
        <v>26</v>
      </c>
      <c r="P511" s="2" t="s">
        <v>26</v>
      </c>
      <c r="Q511" s="8" t="s">
        <v>11</v>
      </c>
      <c r="R511" s="2" t="s">
        <v>26</v>
      </c>
    </row>
    <row r="512" spans="1:18" x14ac:dyDescent="0.3">
      <c r="A512" s="1" t="s">
        <v>3016</v>
      </c>
      <c r="B512" s="2" t="s">
        <v>3017</v>
      </c>
      <c r="C512" s="2" t="s">
        <v>78</v>
      </c>
      <c r="D512" s="2" t="s">
        <v>386</v>
      </c>
      <c r="E512" s="2" t="s">
        <v>3018</v>
      </c>
      <c r="F512" s="2" t="s">
        <v>3019</v>
      </c>
      <c r="G512" s="2" t="s">
        <v>389</v>
      </c>
      <c r="H512" s="2" t="s">
        <v>34</v>
      </c>
      <c r="I512" s="2">
        <v>47906</v>
      </c>
      <c r="J512" s="2" t="s">
        <v>8</v>
      </c>
      <c r="K512" s="2" t="s">
        <v>3020</v>
      </c>
      <c r="L512" s="2">
        <v>7656945100</v>
      </c>
      <c r="M512" s="8" t="s">
        <v>11</v>
      </c>
      <c r="N512" s="2" t="s">
        <v>26</v>
      </c>
      <c r="O512" s="2" t="s">
        <v>26</v>
      </c>
      <c r="P512" s="2" t="s">
        <v>26</v>
      </c>
      <c r="Q512" s="2" t="s">
        <v>26</v>
      </c>
      <c r="R512" s="2" t="s">
        <v>26</v>
      </c>
    </row>
    <row r="513" spans="1:18" x14ac:dyDescent="0.3">
      <c r="A513" s="1" t="s">
        <v>3021</v>
      </c>
      <c r="B513" s="2" t="s">
        <v>3022</v>
      </c>
      <c r="C513" s="2" t="s">
        <v>3023</v>
      </c>
      <c r="D513" s="2" t="s">
        <v>1034</v>
      </c>
      <c r="E513" s="2" t="s">
        <v>2154</v>
      </c>
      <c r="F513" s="2"/>
      <c r="G513" s="2" t="s">
        <v>16</v>
      </c>
      <c r="H513" s="2" t="s">
        <v>17</v>
      </c>
      <c r="I513" s="2">
        <v>92075</v>
      </c>
      <c r="J513" s="2" t="s">
        <v>8</v>
      </c>
      <c r="K513" s="2" t="s">
        <v>3024</v>
      </c>
      <c r="L513" s="2" t="s">
        <v>3025</v>
      </c>
      <c r="M513" s="2" t="s">
        <v>26</v>
      </c>
      <c r="N513" s="2" t="s">
        <v>26</v>
      </c>
      <c r="O513" s="2" t="s">
        <v>26</v>
      </c>
      <c r="P513" s="8" t="s">
        <v>11</v>
      </c>
      <c r="Q513" s="2" t="s">
        <v>26</v>
      </c>
      <c r="R513" s="2" t="s">
        <v>26</v>
      </c>
    </row>
    <row r="514" spans="1:18" x14ac:dyDescent="0.3">
      <c r="A514" s="1" t="s">
        <v>3026</v>
      </c>
      <c r="B514" s="2" t="s">
        <v>3027</v>
      </c>
      <c r="C514" s="2" t="s">
        <v>29</v>
      </c>
      <c r="D514" s="2" t="s">
        <v>3028</v>
      </c>
      <c r="E514" s="2" t="s">
        <v>3029</v>
      </c>
      <c r="F514" s="2" t="s">
        <v>3030</v>
      </c>
      <c r="G514" s="2" t="s">
        <v>3031</v>
      </c>
      <c r="H514" s="2" t="s">
        <v>125</v>
      </c>
      <c r="I514" s="2">
        <v>61822</v>
      </c>
      <c r="J514" s="2" t="s">
        <v>8</v>
      </c>
      <c r="K514" s="2" t="s">
        <v>3032</v>
      </c>
      <c r="L514" s="2">
        <v>8138690137</v>
      </c>
      <c r="M514" s="2" t="s">
        <v>26</v>
      </c>
      <c r="N514" s="2" t="s">
        <v>26</v>
      </c>
      <c r="O514" s="8" t="s">
        <v>11</v>
      </c>
      <c r="P514" s="2" t="s">
        <v>26</v>
      </c>
      <c r="Q514" s="2" t="s">
        <v>26</v>
      </c>
      <c r="R514" s="2" t="s">
        <v>26</v>
      </c>
    </row>
    <row r="515" spans="1:18" x14ac:dyDescent="0.3">
      <c r="A515" s="1" t="s">
        <v>3033</v>
      </c>
      <c r="B515" s="2" t="s">
        <v>3034</v>
      </c>
      <c r="C515" s="2" t="s">
        <v>3035</v>
      </c>
      <c r="D515" s="2" t="s">
        <v>379</v>
      </c>
      <c r="E515" s="2" t="s">
        <v>380</v>
      </c>
      <c r="F515" s="2"/>
      <c r="G515" s="2" t="s">
        <v>16</v>
      </c>
      <c r="H515" s="2" t="s">
        <v>17</v>
      </c>
      <c r="I515" s="2">
        <v>92121</v>
      </c>
      <c r="J515" s="2" t="s">
        <v>8</v>
      </c>
      <c r="K515" s="2" t="s">
        <v>3036</v>
      </c>
      <c r="L515" s="2" t="s">
        <v>382</v>
      </c>
      <c r="M515" s="2" t="s">
        <v>26</v>
      </c>
      <c r="N515" s="2" t="s">
        <v>26</v>
      </c>
      <c r="O515" s="2" t="s">
        <v>26</v>
      </c>
      <c r="P515" s="8" t="s">
        <v>11</v>
      </c>
      <c r="Q515" s="2" t="s">
        <v>26</v>
      </c>
      <c r="R515" s="2" t="s">
        <v>26</v>
      </c>
    </row>
    <row r="516" spans="1:18" x14ac:dyDescent="0.3">
      <c r="A516" s="1" t="s">
        <v>3037</v>
      </c>
      <c r="B516" s="2" t="s">
        <v>3038</v>
      </c>
      <c r="C516" s="2" t="s">
        <v>385</v>
      </c>
      <c r="D516" s="2" t="s">
        <v>2959</v>
      </c>
      <c r="E516" s="2" t="s">
        <v>3039</v>
      </c>
      <c r="F516" s="2"/>
      <c r="G516" s="2" t="s">
        <v>1277</v>
      </c>
      <c r="H516" s="2" t="s">
        <v>74</v>
      </c>
      <c r="I516" s="2" t="s">
        <v>2961</v>
      </c>
      <c r="J516" s="2" t="s">
        <v>417</v>
      </c>
      <c r="K516" s="2" t="s">
        <v>3040</v>
      </c>
      <c r="L516" s="2">
        <f>81-42-367-5863</f>
        <v>-6191</v>
      </c>
      <c r="M516" s="8" t="s">
        <v>11</v>
      </c>
      <c r="N516" s="2" t="s">
        <v>26</v>
      </c>
      <c r="O516" s="2" t="s">
        <v>26</v>
      </c>
      <c r="P516" s="2" t="s">
        <v>26</v>
      </c>
      <c r="Q516" s="2" t="s">
        <v>26</v>
      </c>
      <c r="R516" s="2" t="s">
        <v>26</v>
      </c>
    </row>
    <row r="517" spans="1:18" x14ac:dyDescent="0.3">
      <c r="A517" s="1" t="s">
        <v>3041</v>
      </c>
      <c r="B517" s="2" t="s">
        <v>216</v>
      </c>
      <c r="C517" s="2" t="s">
        <v>680</v>
      </c>
      <c r="D517" s="2" t="s">
        <v>3042</v>
      </c>
      <c r="E517" s="2" t="s">
        <v>3043</v>
      </c>
      <c r="F517" s="2"/>
      <c r="G517" s="2" t="s">
        <v>16</v>
      </c>
      <c r="H517" s="2" t="s">
        <v>17</v>
      </c>
      <c r="I517" s="2">
        <v>92129</v>
      </c>
      <c r="J517" s="2" t="s">
        <v>8</v>
      </c>
      <c r="K517" s="2" t="s">
        <v>3044</v>
      </c>
      <c r="L517" s="2">
        <v>8582326595</v>
      </c>
      <c r="M517" s="2" t="s">
        <v>26</v>
      </c>
      <c r="N517" s="2" t="s">
        <v>26</v>
      </c>
      <c r="O517" s="8" t="s">
        <v>11</v>
      </c>
      <c r="P517" s="2" t="s">
        <v>26</v>
      </c>
      <c r="Q517" s="2" t="s">
        <v>26</v>
      </c>
      <c r="R517" s="2" t="s">
        <v>26</v>
      </c>
    </row>
    <row r="518" spans="1:18" x14ac:dyDescent="0.3">
      <c r="A518" s="1" t="s">
        <v>3045</v>
      </c>
      <c r="B518" s="2" t="s">
        <v>3046</v>
      </c>
      <c r="C518" s="2" t="s">
        <v>3047</v>
      </c>
      <c r="D518" s="2" t="s">
        <v>2723</v>
      </c>
      <c r="E518" s="2" t="s">
        <v>3048</v>
      </c>
      <c r="F518" s="2"/>
      <c r="G518" s="2" t="s">
        <v>3049</v>
      </c>
      <c r="H518" s="2" t="s">
        <v>74</v>
      </c>
      <c r="I518" s="2">
        <v>4445</v>
      </c>
      <c r="J518" s="2" t="s">
        <v>75</v>
      </c>
      <c r="K518" s="2" t="s">
        <v>3050</v>
      </c>
      <c r="L518" s="2" t="s">
        <v>3051</v>
      </c>
      <c r="M518" s="2" t="s">
        <v>26</v>
      </c>
      <c r="N518" s="2" t="s">
        <v>26</v>
      </c>
      <c r="O518" s="2" t="s">
        <v>26</v>
      </c>
      <c r="P518" s="8" t="s">
        <v>11</v>
      </c>
      <c r="Q518" s="2" t="s">
        <v>26</v>
      </c>
      <c r="R518" s="2" t="s">
        <v>26</v>
      </c>
    </row>
    <row r="519" spans="1:18" x14ac:dyDescent="0.3">
      <c r="A519" s="1" t="s">
        <v>3052</v>
      </c>
      <c r="B519" s="2" t="s">
        <v>3053</v>
      </c>
      <c r="C519" s="2" t="s">
        <v>70</v>
      </c>
      <c r="D519" s="2" t="s">
        <v>3054</v>
      </c>
      <c r="E519" s="2" t="s">
        <v>3055</v>
      </c>
      <c r="F519" s="2"/>
      <c r="G519" s="2" t="s">
        <v>1110</v>
      </c>
      <c r="H519" s="2" t="s">
        <v>74</v>
      </c>
      <c r="I519" s="2">
        <v>71</v>
      </c>
      <c r="J519" s="2" t="s">
        <v>325</v>
      </c>
      <c r="K519" s="2" t="s">
        <v>3056</v>
      </c>
      <c r="L519" s="2">
        <v>393385060614</v>
      </c>
      <c r="M519" s="2" t="s">
        <v>26</v>
      </c>
      <c r="N519" s="2" t="s">
        <v>26</v>
      </c>
      <c r="O519" s="2" t="s">
        <v>26</v>
      </c>
      <c r="P519" s="8" t="s">
        <v>11</v>
      </c>
      <c r="Q519" s="2" t="s">
        <v>26</v>
      </c>
      <c r="R519" s="2" t="s">
        <v>26</v>
      </c>
    </row>
    <row r="520" spans="1:18" x14ac:dyDescent="0.3">
      <c r="A520" s="1" t="s">
        <v>3057</v>
      </c>
      <c r="B520" s="2" t="s">
        <v>3058</v>
      </c>
      <c r="C520" s="2" t="s">
        <v>29</v>
      </c>
      <c r="D520" s="2" t="s">
        <v>763</v>
      </c>
      <c r="E520" s="2" t="s">
        <v>3059</v>
      </c>
      <c r="F520" s="2"/>
      <c r="G520" s="2" t="s">
        <v>765</v>
      </c>
      <c r="H520" s="2" t="s">
        <v>766</v>
      </c>
      <c r="I520" s="2">
        <v>1090</v>
      </c>
      <c r="J520" s="2" t="s">
        <v>767</v>
      </c>
      <c r="K520" s="2" t="s">
        <v>3060</v>
      </c>
      <c r="L520" s="2">
        <v>310621402741</v>
      </c>
      <c r="M520" s="2" t="s">
        <v>26</v>
      </c>
      <c r="N520" s="2" t="s">
        <v>26</v>
      </c>
      <c r="O520" s="8" t="s">
        <v>11</v>
      </c>
      <c r="P520" s="2" t="s">
        <v>26</v>
      </c>
      <c r="Q520" s="2" t="s">
        <v>26</v>
      </c>
      <c r="R520" s="2" t="s">
        <v>26</v>
      </c>
    </row>
    <row r="521" spans="1:18" x14ac:dyDescent="0.3">
      <c r="A521" s="1" t="s">
        <v>3061</v>
      </c>
      <c r="B521" s="2" t="s">
        <v>3062</v>
      </c>
      <c r="C521" s="2"/>
      <c r="D521" s="2" t="s">
        <v>3063</v>
      </c>
      <c r="E521" s="2" t="s">
        <v>3064</v>
      </c>
      <c r="F521" s="2"/>
      <c r="G521" s="2" t="s">
        <v>3065</v>
      </c>
      <c r="H521" s="2" t="s">
        <v>74</v>
      </c>
      <c r="I521" s="2">
        <v>82152</v>
      </c>
      <c r="J521" s="2" t="s">
        <v>235</v>
      </c>
      <c r="K521" s="2" t="s">
        <v>3066</v>
      </c>
      <c r="L521" s="2">
        <v>498985783424</v>
      </c>
      <c r="M521" s="2" t="s">
        <v>26</v>
      </c>
      <c r="N521" s="2" t="s">
        <v>26</v>
      </c>
      <c r="O521" s="2" t="s">
        <v>26</v>
      </c>
      <c r="P521" s="2" t="s">
        <v>26</v>
      </c>
      <c r="Q521" s="8" t="s">
        <v>11</v>
      </c>
      <c r="R521" s="2" t="s">
        <v>26</v>
      </c>
    </row>
    <row r="522" spans="1:18" x14ac:dyDescent="0.3">
      <c r="A522" s="1" t="s">
        <v>3067</v>
      </c>
      <c r="B522" s="2" t="s">
        <v>3068</v>
      </c>
      <c r="C522" s="2" t="s">
        <v>3069</v>
      </c>
      <c r="D522" s="2" t="s">
        <v>951</v>
      </c>
      <c r="E522" s="2" t="s">
        <v>793</v>
      </c>
      <c r="F522" s="2"/>
      <c r="G522" s="2" t="s">
        <v>2215</v>
      </c>
      <c r="H522" s="2" t="s">
        <v>489</v>
      </c>
      <c r="I522" s="2">
        <v>19477</v>
      </c>
      <c r="J522" s="2" t="s">
        <v>8</v>
      </c>
      <c r="K522" s="2" t="s">
        <v>3070</v>
      </c>
      <c r="L522" s="2">
        <v>2019527060</v>
      </c>
      <c r="M522" s="2" t="s">
        <v>26</v>
      </c>
      <c r="N522" s="2" t="s">
        <v>26</v>
      </c>
      <c r="O522" s="2" t="s">
        <v>26</v>
      </c>
      <c r="P522" s="8" t="s">
        <v>11</v>
      </c>
      <c r="Q522" s="2" t="s">
        <v>26</v>
      </c>
      <c r="R522" s="2" t="s">
        <v>26</v>
      </c>
    </row>
    <row r="523" spans="1:18" x14ac:dyDescent="0.3">
      <c r="A523" s="1" t="s">
        <v>3071</v>
      </c>
      <c r="B523" s="2" t="s">
        <v>3072</v>
      </c>
      <c r="C523" s="2" t="s">
        <v>2112</v>
      </c>
      <c r="D523" s="2" t="s">
        <v>160</v>
      </c>
      <c r="E523" s="2" t="s">
        <v>161</v>
      </c>
      <c r="F523" s="2"/>
      <c r="G523" s="2" t="s">
        <v>162</v>
      </c>
      <c r="H523" s="2" t="s">
        <v>74</v>
      </c>
      <c r="I523" s="2">
        <v>4056</v>
      </c>
      <c r="J523" s="2" t="s">
        <v>75</v>
      </c>
      <c r="K523" s="2" t="s">
        <v>3073</v>
      </c>
      <c r="L523" s="2">
        <v>41797583403</v>
      </c>
      <c r="M523" s="8" t="s">
        <v>11</v>
      </c>
      <c r="N523" s="2" t="s">
        <v>26</v>
      </c>
      <c r="O523" s="2" t="s">
        <v>26</v>
      </c>
      <c r="P523" s="2" t="s">
        <v>26</v>
      </c>
      <c r="Q523" s="2" t="s">
        <v>26</v>
      </c>
      <c r="R523" s="2" t="s">
        <v>26</v>
      </c>
    </row>
    <row r="524" spans="1:18" x14ac:dyDescent="0.3">
      <c r="A524" s="1" t="s">
        <v>3074</v>
      </c>
      <c r="B524" s="2" t="s">
        <v>3075</v>
      </c>
      <c r="C524" s="2" t="s">
        <v>3076</v>
      </c>
      <c r="D524" s="2" t="s">
        <v>3077</v>
      </c>
      <c r="E524" s="2" t="s">
        <v>3078</v>
      </c>
      <c r="F524" s="2"/>
      <c r="G524" s="2" t="s">
        <v>717</v>
      </c>
      <c r="H524" s="2" t="s">
        <v>17</v>
      </c>
      <c r="I524" s="2">
        <v>94114</v>
      </c>
      <c r="J524" s="2" t="s">
        <v>8</v>
      </c>
      <c r="K524" s="2" t="s">
        <v>3079</v>
      </c>
      <c r="L524" s="2">
        <v>14158496906</v>
      </c>
      <c r="M524" s="2" t="s">
        <v>26</v>
      </c>
      <c r="N524" s="2" t="s">
        <v>26</v>
      </c>
      <c r="O524" s="8" t="s">
        <v>11</v>
      </c>
      <c r="P524" s="2" t="s">
        <v>26</v>
      </c>
      <c r="Q524" s="2" t="s">
        <v>26</v>
      </c>
      <c r="R524" s="2" t="s">
        <v>26</v>
      </c>
    </row>
    <row r="525" spans="1:18" x14ac:dyDescent="0.3">
      <c r="A525" s="1" t="s">
        <v>3074</v>
      </c>
      <c r="B525" s="2" t="s">
        <v>2920</v>
      </c>
      <c r="C525" s="2" t="s">
        <v>544</v>
      </c>
      <c r="D525" s="2" t="s">
        <v>3080</v>
      </c>
      <c r="E525" s="2" t="s">
        <v>777</v>
      </c>
      <c r="F525" s="2"/>
      <c r="G525" s="2" t="s">
        <v>483</v>
      </c>
      <c r="H525" s="2" t="s">
        <v>17</v>
      </c>
      <c r="I525" s="2">
        <v>94080</v>
      </c>
      <c r="J525" s="2" t="s">
        <v>8</v>
      </c>
      <c r="K525" s="2" t="s">
        <v>3081</v>
      </c>
      <c r="L525" s="2">
        <v>3153353567</v>
      </c>
      <c r="M525" s="2" t="s">
        <v>26</v>
      </c>
      <c r="N525" s="2" t="s">
        <v>26</v>
      </c>
      <c r="O525" s="2" t="s">
        <v>26</v>
      </c>
      <c r="P525" s="8" t="s">
        <v>11</v>
      </c>
      <c r="Q525" s="2" t="s">
        <v>26</v>
      </c>
      <c r="R525" s="2" t="s">
        <v>26</v>
      </c>
    </row>
    <row r="526" spans="1:18" x14ac:dyDescent="0.3">
      <c r="A526" s="1" t="s">
        <v>3082</v>
      </c>
      <c r="B526" s="2" t="s">
        <v>3083</v>
      </c>
      <c r="C526" s="2" t="s">
        <v>3084</v>
      </c>
      <c r="D526" s="2" t="s">
        <v>3085</v>
      </c>
      <c r="E526" s="2" t="s">
        <v>3086</v>
      </c>
      <c r="F526" s="2"/>
      <c r="G526" s="2" t="s">
        <v>3087</v>
      </c>
      <c r="H526" s="2" t="s">
        <v>203</v>
      </c>
      <c r="I526" s="2">
        <v>55905</v>
      </c>
      <c r="J526" s="2" t="s">
        <v>8</v>
      </c>
      <c r="K526" s="2" t="s">
        <v>3088</v>
      </c>
      <c r="L526" s="2">
        <v>5203427519</v>
      </c>
      <c r="M526" s="2" t="s">
        <v>26</v>
      </c>
      <c r="N526" s="2" t="s">
        <v>26</v>
      </c>
      <c r="O526" s="2" t="s">
        <v>26</v>
      </c>
      <c r="P526" s="2" t="s">
        <v>26</v>
      </c>
      <c r="Q526" s="8" t="s">
        <v>11</v>
      </c>
      <c r="R526" s="2" t="s">
        <v>26</v>
      </c>
    </row>
    <row r="527" spans="1:18" x14ac:dyDescent="0.3">
      <c r="A527" s="1" t="s">
        <v>3089</v>
      </c>
      <c r="B527" s="2" t="s">
        <v>3090</v>
      </c>
      <c r="C527" s="2" t="s">
        <v>238</v>
      </c>
      <c r="D527" s="2" t="s">
        <v>3091</v>
      </c>
      <c r="E527" s="2" t="s">
        <v>3092</v>
      </c>
      <c r="F527" s="2" t="s">
        <v>3093</v>
      </c>
      <c r="G527" s="2" t="s">
        <v>1492</v>
      </c>
      <c r="H527" s="2" t="s">
        <v>74</v>
      </c>
      <c r="I527" s="2">
        <v>560012</v>
      </c>
      <c r="J527" s="2" t="s">
        <v>36</v>
      </c>
      <c r="K527" s="2" t="s">
        <v>3094</v>
      </c>
      <c r="L527" s="2">
        <v>7004803315</v>
      </c>
      <c r="M527" s="8" t="s">
        <v>11</v>
      </c>
      <c r="N527" s="2" t="s">
        <v>26</v>
      </c>
      <c r="O527" s="2" t="s">
        <v>26</v>
      </c>
      <c r="P527" s="2" t="s">
        <v>26</v>
      </c>
      <c r="Q527" s="2" t="s">
        <v>26</v>
      </c>
      <c r="R527" s="2" t="s">
        <v>26</v>
      </c>
    </row>
    <row r="528" spans="1:18" x14ac:dyDescent="0.3">
      <c r="A528" s="1" t="s">
        <v>3095</v>
      </c>
      <c r="B528" s="2" t="s">
        <v>658</v>
      </c>
      <c r="C528" s="2" t="s">
        <v>385</v>
      </c>
      <c r="D528" s="2" t="s">
        <v>1489</v>
      </c>
      <c r="E528" s="2" t="s">
        <v>3096</v>
      </c>
      <c r="F528" s="2" t="s">
        <v>3097</v>
      </c>
      <c r="G528" s="2" t="s">
        <v>3098</v>
      </c>
      <c r="H528" s="2" t="s">
        <v>74</v>
      </c>
      <c r="I528" s="2">
        <v>712136</v>
      </c>
      <c r="J528" s="2" t="s">
        <v>36</v>
      </c>
      <c r="K528" s="2" t="s">
        <v>3099</v>
      </c>
      <c r="L528" s="2">
        <v>919163956493</v>
      </c>
      <c r="M528" s="8" t="s">
        <v>11</v>
      </c>
      <c r="N528" s="2" t="s">
        <v>26</v>
      </c>
      <c r="O528" s="2" t="s">
        <v>26</v>
      </c>
      <c r="P528" s="2" t="s">
        <v>26</v>
      </c>
      <c r="Q528" s="2" t="s">
        <v>26</v>
      </c>
      <c r="R528" s="2" t="s">
        <v>26</v>
      </c>
    </row>
    <row r="529" spans="1:18" x14ac:dyDescent="0.3">
      <c r="A529" s="1" t="s">
        <v>3100</v>
      </c>
      <c r="B529" s="2" t="s">
        <v>3101</v>
      </c>
      <c r="C529" s="2" t="s">
        <v>253</v>
      </c>
      <c r="D529" s="2" t="s">
        <v>3102</v>
      </c>
      <c r="E529" s="2" t="s">
        <v>3103</v>
      </c>
      <c r="F529" s="2" t="s">
        <v>3104</v>
      </c>
      <c r="G529" s="2" t="s">
        <v>992</v>
      </c>
      <c r="H529" s="2" t="s">
        <v>74</v>
      </c>
      <c r="I529" s="2" t="s">
        <v>3105</v>
      </c>
      <c r="J529" s="2" t="s">
        <v>258</v>
      </c>
      <c r="K529" s="2" t="s">
        <v>3106</v>
      </c>
      <c r="L529" s="2">
        <v>20784884784</v>
      </c>
      <c r="M529" s="2" t="s">
        <v>26</v>
      </c>
      <c r="N529" s="2" t="s">
        <v>26</v>
      </c>
      <c r="O529" s="2" t="s">
        <v>26</v>
      </c>
      <c r="P529" s="2" t="s">
        <v>26</v>
      </c>
      <c r="Q529" s="8" t="s">
        <v>11</v>
      </c>
      <c r="R529" s="2" t="s">
        <v>26</v>
      </c>
    </row>
    <row r="530" spans="1:18" x14ac:dyDescent="0.3">
      <c r="A530" s="1" t="s">
        <v>3107</v>
      </c>
      <c r="B530" s="2" t="s">
        <v>2848</v>
      </c>
      <c r="C530" s="2" t="s">
        <v>329</v>
      </c>
      <c r="D530" s="2" t="s">
        <v>14</v>
      </c>
      <c r="E530" s="2" t="s">
        <v>3108</v>
      </c>
      <c r="F530" s="2"/>
      <c r="G530" s="2" t="s">
        <v>16</v>
      </c>
      <c r="H530" s="2" t="s">
        <v>17</v>
      </c>
      <c r="I530" s="2">
        <v>92130</v>
      </c>
      <c r="J530" s="2" t="s">
        <v>8</v>
      </c>
      <c r="K530" s="2" t="s">
        <v>3109</v>
      </c>
      <c r="L530" s="2">
        <v>2069810120</v>
      </c>
      <c r="M530" s="2" t="s">
        <v>26</v>
      </c>
      <c r="N530" s="2" t="s">
        <v>26</v>
      </c>
      <c r="O530" s="2" t="s">
        <v>26</v>
      </c>
      <c r="P530" s="8" t="s">
        <v>11</v>
      </c>
      <c r="Q530" s="2" t="s">
        <v>26</v>
      </c>
      <c r="R530" s="2" t="s">
        <v>26</v>
      </c>
    </row>
    <row r="531" spans="1:18" x14ac:dyDescent="0.3">
      <c r="A531" s="1" t="s">
        <v>3110</v>
      </c>
      <c r="B531" s="2" t="s">
        <v>679</v>
      </c>
      <c r="C531" s="2" t="s">
        <v>3111</v>
      </c>
      <c r="D531" s="2" t="s">
        <v>21</v>
      </c>
      <c r="E531" s="2" t="s">
        <v>2619</v>
      </c>
      <c r="F531" s="2"/>
      <c r="G531" s="2" t="s">
        <v>623</v>
      </c>
      <c r="H531" s="2" t="s">
        <v>17</v>
      </c>
      <c r="I531" s="2">
        <v>94720</v>
      </c>
      <c r="J531" s="2" t="s">
        <v>8</v>
      </c>
      <c r="K531" s="2" t="s">
        <v>3112</v>
      </c>
      <c r="L531" s="2">
        <v>5104809620</v>
      </c>
      <c r="M531" s="2" t="s">
        <v>26</v>
      </c>
      <c r="N531" s="8" t="s">
        <v>11</v>
      </c>
      <c r="O531" s="2" t="s">
        <v>26</v>
      </c>
      <c r="P531" s="2" t="s">
        <v>26</v>
      </c>
      <c r="Q531" s="2" t="s">
        <v>26</v>
      </c>
      <c r="R531" s="2" t="s">
        <v>26</v>
      </c>
    </row>
    <row r="532" spans="1:18" x14ac:dyDescent="0.3">
      <c r="A532" s="1" t="s">
        <v>3110</v>
      </c>
      <c r="B532" s="2" t="s">
        <v>3113</v>
      </c>
      <c r="C532" s="2" t="s">
        <v>3114</v>
      </c>
      <c r="D532" s="2" t="s">
        <v>500</v>
      </c>
      <c r="E532" s="2" t="s">
        <v>3115</v>
      </c>
      <c r="F532" s="2"/>
      <c r="G532" s="2" t="s">
        <v>929</v>
      </c>
      <c r="H532" s="2" t="s">
        <v>195</v>
      </c>
      <c r="I532" s="2">
        <v>11215</v>
      </c>
      <c r="J532" s="2" t="s">
        <v>8</v>
      </c>
      <c r="K532" s="2" t="s">
        <v>3116</v>
      </c>
      <c r="L532" s="2" t="s">
        <v>3117</v>
      </c>
      <c r="M532" s="2" t="s">
        <v>26</v>
      </c>
      <c r="N532" s="2" t="s">
        <v>26</v>
      </c>
      <c r="O532" s="2" t="s">
        <v>26</v>
      </c>
      <c r="P532" s="8" t="s">
        <v>11</v>
      </c>
      <c r="Q532" s="2" t="s">
        <v>26</v>
      </c>
      <c r="R532" s="2" t="s">
        <v>26</v>
      </c>
    </row>
    <row r="533" spans="1:18" x14ac:dyDescent="0.3">
      <c r="A533" s="1" t="s">
        <v>3118</v>
      </c>
      <c r="B533" s="2" t="s">
        <v>3119</v>
      </c>
      <c r="C533" s="2" t="s">
        <v>102</v>
      </c>
      <c r="D533" s="2" t="s">
        <v>3120</v>
      </c>
      <c r="E533" s="2" t="s">
        <v>3121</v>
      </c>
      <c r="F533" s="2"/>
      <c r="G533" s="2" t="s">
        <v>2093</v>
      </c>
      <c r="H533" s="2" t="s">
        <v>74</v>
      </c>
      <c r="I533" s="2" t="s">
        <v>3122</v>
      </c>
      <c r="J533" s="2" t="s">
        <v>417</v>
      </c>
      <c r="K533" s="2" t="s">
        <v>3123</v>
      </c>
      <c r="L533" s="2">
        <v>819056123805</v>
      </c>
      <c r="M533" s="2" t="s">
        <v>26</v>
      </c>
      <c r="N533" s="2" t="s">
        <v>26</v>
      </c>
      <c r="O533" s="8" t="s">
        <v>11</v>
      </c>
      <c r="P533" s="2" t="s">
        <v>26</v>
      </c>
      <c r="Q533" s="2" t="s">
        <v>26</v>
      </c>
      <c r="R533" s="2" t="s">
        <v>26</v>
      </c>
    </row>
    <row r="534" spans="1:18" x14ac:dyDescent="0.3">
      <c r="A534" s="1" t="s">
        <v>3124</v>
      </c>
      <c r="B534" s="2" t="s">
        <v>3125</v>
      </c>
      <c r="C534" s="2" t="s">
        <v>3126</v>
      </c>
      <c r="D534" s="2" t="s">
        <v>3127</v>
      </c>
      <c r="E534" s="2" t="s">
        <v>3128</v>
      </c>
      <c r="F534" s="2"/>
      <c r="G534" s="2" t="s">
        <v>3129</v>
      </c>
      <c r="H534" s="2" t="s">
        <v>17</v>
      </c>
      <c r="I534" s="2">
        <v>93012</v>
      </c>
      <c r="J534" s="2" t="s">
        <v>8</v>
      </c>
      <c r="K534" s="2" t="s">
        <v>3130</v>
      </c>
      <c r="L534" s="2">
        <v>9084562152</v>
      </c>
      <c r="M534" s="2" t="s">
        <v>26</v>
      </c>
      <c r="N534" s="8" t="s">
        <v>11</v>
      </c>
      <c r="O534" s="2" t="s">
        <v>26</v>
      </c>
      <c r="P534" s="2" t="s">
        <v>26</v>
      </c>
      <c r="Q534" s="2" t="s">
        <v>26</v>
      </c>
      <c r="R534" s="2" t="s">
        <v>26</v>
      </c>
    </row>
    <row r="535" spans="1:18" x14ac:dyDescent="0.3">
      <c r="A535" s="1" t="s">
        <v>3131</v>
      </c>
      <c r="B535" s="2" t="s">
        <v>3132</v>
      </c>
      <c r="C535" s="2" t="s">
        <v>1578</v>
      </c>
      <c r="D535" s="2" t="s">
        <v>2049</v>
      </c>
      <c r="E535" s="2" t="s">
        <v>3133</v>
      </c>
      <c r="F535" s="2"/>
      <c r="G535" s="2" t="s">
        <v>3134</v>
      </c>
      <c r="H535" s="2" t="s">
        <v>7</v>
      </c>
      <c r="I535" s="2">
        <v>1002</v>
      </c>
      <c r="J535" s="2" t="s">
        <v>8</v>
      </c>
      <c r="K535" s="2" t="s">
        <v>3135</v>
      </c>
      <c r="L535" s="2">
        <v>4133458484</v>
      </c>
      <c r="M535" s="2" t="s">
        <v>26</v>
      </c>
      <c r="N535" s="2" t="s">
        <v>26</v>
      </c>
      <c r="O535" s="2" t="s">
        <v>26</v>
      </c>
      <c r="P535" s="2" t="s">
        <v>26</v>
      </c>
      <c r="Q535" s="2" t="s">
        <v>26</v>
      </c>
      <c r="R535" s="8" t="s">
        <v>11</v>
      </c>
    </row>
    <row r="536" spans="1:18" x14ac:dyDescent="0.3">
      <c r="A536" s="1" t="s">
        <v>3136</v>
      </c>
      <c r="B536" s="2" t="s">
        <v>3137</v>
      </c>
      <c r="C536" s="2" t="s">
        <v>1578</v>
      </c>
      <c r="D536" s="2" t="s">
        <v>30</v>
      </c>
      <c r="E536" s="2" t="s">
        <v>2132</v>
      </c>
      <c r="F536" s="2"/>
      <c r="G536" s="2" t="s">
        <v>33</v>
      </c>
      <c r="H536" s="2" t="s">
        <v>34</v>
      </c>
      <c r="I536" s="2">
        <v>46617</v>
      </c>
      <c r="J536" s="2" t="s">
        <v>8</v>
      </c>
      <c r="K536" s="2" t="s">
        <v>3138</v>
      </c>
      <c r="L536" s="2">
        <v>5416025440</v>
      </c>
      <c r="M536" s="8" t="s">
        <v>11</v>
      </c>
      <c r="N536" s="2" t="s">
        <v>26</v>
      </c>
      <c r="O536" s="2" t="s">
        <v>26</v>
      </c>
      <c r="P536" s="2" t="s">
        <v>26</v>
      </c>
      <c r="Q536" s="2" t="s">
        <v>26</v>
      </c>
      <c r="R536" s="2" t="s">
        <v>26</v>
      </c>
    </row>
    <row r="537" spans="1:18" x14ac:dyDescent="0.3">
      <c r="A537" s="1" t="s">
        <v>3139</v>
      </c>
      <c r="B537" s="2" t="s">
        <v>3140</v>
      </c>
      <c r="C537" s="2" t="s">
        <v>3141</v>
      </c>
      <c r="D537" s="2" t="s">
        <v>3142</v>
      </c>
      <c r="E537" s="2" t="s">
        <v>3143</v>
      </c>
      <c r="F537" s="2" t="s">
        <v>1262</v>
      </c>
      <c r="G537" s="2" t="s">
        <v>2966</v>
      </c>
      <c r="H537" s="2" t="s">
        <v>250</v>
      </c>
      <c r="I537" s="2">
        <v>77840</v>
      </c>
      <c r="J537" s="2" t="s">
        <v>8</v>
      </c>
      <c r="K537" s="2" t="s">
        <v>3144</v>
      </c>
      <c r="L537" s="2" t="s">
        <v>3145</v>
      </c>
      <c r="M537" s="8" t="s">
        <v>11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</row>
    <row r="538" spans="1:18" x14ac:dyDescent="0.3">
      <c r="A538" s="1" t="s">
        <v>3146</v>
      </c>
      <c r="B538" s="2" t="s">
        <v>1413</v>
      </c>
      <c r="C538" s="2" t="s">
        <v>3147</v>
      </c>
      <c r="D538" s="2" t="s">
        <v>3148</v>
      </c>
      <c r="E538" s="2" t="s">
        <v>3149</v>
      </c>
      <c r="F538" s="2"/>
      <c r="G538" s="2" t="s">
        <v>3150</v>
      </c>
      <c r="H538" s="2" t="s">
        <v>1234</v>
      </c>
      <c r="I538" s="2">
        <v>64108</v>
      </c>
      <c r="J538" s="2" t="s">
        <v>8</v>
      </c>
      <c r="K538" s="2" t="s">
        <v>3151</v>
      </c>
      <c r="L538" s="2">
        <v>8167317150</v>
      </c>
      <c r="M538" s="2" t="s">
        <v>26</v>
      </c>
      <c r="N538" s="2" t="s">
        <v>26</v>
      </c>
      <c r="O538" s="2" t="s">
        <v>26</v>
      </c>
      <c r="P538" s="2" t="s">
        <v>26</v>
      </c>
      <c r="Q538" s="8" t="s">
        <v>11</v>
      </c>
      <c r="R538" s="2" t="s">
        <v>26</v>
      </c>
    </row>
    <row r="539" spans="1:18" x14ac:dyDescent="0.3">
      <c r="A539" s="1" t="s">
        <v>3152</v>
      </c>
      <c r="B539" s="2" t="s">
        <v>3153</v>
      </c>
      <c r="C539" s="2" t="s">
        <v>3154</v>
      </c>
      <c r="D539" s="2" t="s">
        <v>3155</v>
      </c>
      <c r="E539" s="2" t="s">
        <v>2981</v>
      </c>
      <c r="F539" s="2"/>
      <c r="G539" s="2" t="s">
        <v>2982</v>
      </c>
      <c r="H539" s="2" t="s">
        <v>74</v>
      </c>
      <c r="I539" s="2" t="s">
        <v>3156</v>
      </c>
      <c r="J539" s="2" t="s">
        <v>417</v>
      </c>
      <c r="K539" s="2" t="s">
        <v>3157</v>
      </c>
      <c r="L539" s="2">
        <v>818024066884</v>
      </c>
      <c r="M539" s="2" t="s">
        <v>26</v>
      </c>
      <c r="N539" s="2" t="s">
        <v>26</v>
      </c>
      <c r="O539" s="2" t="s">
        <v>26</v>
      </c>
      <c r="P539" s="8" t="s">
        <v>11</v>
      </c>
      <c r="Q539" s="2" t="s">
        <v>26</v>
      </c>
      <c r="R539" s="2" t="s">
        <v>26</v>
      </c>
    </row>
    <row r="540" spans="1:18" x14ac:dyDescent="0.3">
      <c r="A540" s="1" t="s">
        <v>3158</v>
      </c>
      <c r="B540" s="2" t="s">
        <v>3159</v>
      </c>
      <c r="C540" s="2" t="s">
        <v>3160</v>
      </c>
      <c r="D540" s="2" t="s">
        <v>3161</v>
      </c>
      <c r="E540" s="2" t="s">
        <v>3162</v>
      </c>
      <c r="F540" s="2"/>
      <c r="G540" s="2" t="s">
        <v>3163</v>
      </c>
      <c r="H540" s="2" t="s">
        <v>65</v>
      </c>
      <c r="I540" s="2">
        <v>32801</v>
      </c>
      <c r="J540" s="2" t="s">
        <v>8</v>
      </c>
      <c r="K540" s="2" t="s">
        <v>3164</v>
      </c>
      <c r="L540" s="2">
        <v>4073056792</v>
      </c>
      <c r="M540" s="2" t="s">
        <v>26</v>
      </c>
      <c r="N540" s="8" t="s">
        <v>11</v>
      </c>
      <c r="O540" s="2" t="s">
        <v>26</v>
      </c>
      <c r="P540" s="2" t="s">
        <v>26</v>
      </c>
      <c r="Q540" s="2" t="s">
        <v>26</v>
      </c>
      <c r="R540" s="2" t="s">
        <v>26</v>
      </c>
    </row>
    <row r="541" spans="1:18" x14ac:dyDescent="0.3">
      <c r="A541" s="1" t="s">
        <v>3165</v>
      </c>
      <c r="B541" s="2" t="s">
        <v>3166</v>
      </c>
      <c r="C541" s="2" t="s">
        <v>342</v>
      </c>
      <c r="D541" s="2" t="s">
        <v>3167</v>
      </c>
      <c r="E541" s="2" t="s">
        <v>3168</v>
      </c>
      <c r="F541" s="2"/>
      <c r="G541" s="2" t="s">
        <v>3169</v>
      </c>
      <c r="H541" s="2" t="s">
        <v>51</v>
      </c>
      <c r="I541" s="2">
        <v>20850</v>
      </c>
      <c r="J541" s="2" t="s">
        <v>8</v>
      </c>
      <c r="K541" s="2" t="s">
        <v>3170</v>
      </c>
      <c r="L541" s="2">
        <v>3462179710</v>
      </c>
      <c r="M541" s="2" t="s">
        <v>26</v>
      </c>
      <c r="N541" s="2" t="s">
        <v>26</v>
      </c>
      <c r="O541" s="8" t="s">
        <v>11</v>
      </c>
      <c r="P541" s="2" t="s">
        <v>26</v>
      </c>
      <c r="Q541" s="2" t="s">
        <v>26</v>
      </c>
      <c r="R541" s="2" t="s">
        <v>26</v>
      </c>
    </row>
    <row r="542" spans="1:18" x14ac:dyDescent="0.3">
      <c r="A542" s="1" t="s">
        <v>3171</v>
      </c>
      <c r="B542" s="2" t="s">
        <v>3172</v>
      </c>
      <c r="C542" s="2" t="s">
        <v>1081</v>
      </c>
      <c r="D542" s="2" t="s">
        <v>290</v>
      </c>
      <c r="E542" s="2" t="s">
        <v>3173</v>
      </c>
      <c r="F542" s="2"/>
      <c r="G542" s="2" t="s">
        <v>292</v>
      </c>
      <c r="H542" s="2" t="s">
        <v>293</v>
      </c>
      <c r="I542" s="2" t="s">
        <v>3174</v>
      </c>
      <c r="J542" s="2" t="s">
        <v>98</v>
      </c>
      <c r="K542" s="2" t="s">
        <v>3175</v>
      </c>
      <c r="L542" s="2">
        <v>5872828287</v>
      </c>
      <c r="M542" s="8" t="s">
        <v>11</v>
      </c>
      <c r="N542" s="2" t="s">
        <v>26</v>
      </c>
      <c r="O542" s="2" t="s">
        <v>26</v>
      </c>
      <c r="P542" s="2" t="s">
        <v>26</v>
      </c>
      <c r="Q542" s="2" t="s">
        <v>26</v>
      </c>
      <c r="R542" s="2" t="s">
        <v>26</v>
      </c>
    </row>
    <row r="543" spans="1:18" x14ac:dyDescent="0.3">
      <c r="A543" s="1" t="s">
        <v>2339</v>
      </c>
      <c r="B543" s="2" t="s">
        <v>3176</v>
      </c>
      <c r="C543" s="2" t="s">
        <v>78</v>
      </c>
      <c r="D543" s="2" t="s">
        <v>3177</v>
      </c>
      <c r="E543" s="2" t="s">
        <v>3178</v>
      </c>
      <c r="F543" s="2"/>
      <c r="G543" s="2" t="s">
        <v>982</v>
      </c>
      <c r="H543" s="2" t="s">
        <v>983</v>
      </c>
      <c r="I543" s="2">
        <v>30605</v>
      </c>
      <c r="J543" s="2" t="s">
        <v>8</v>
      </c>
      <c r="K543" s="2" t="s">
        <v>3179</v>
      </c>
      <c r="L543" s="2">
        <v>6789071126</v>
      </c>
      <c r="M543" s="8" t="s">
        <v>11</v>
      </c>
      <c r="N543" s="2" t="s">
        <v>26</v>
      </c>
      <c r="O543" s="2" t="s">
        <v>26</v>
      </c>
      <c r="P543" s="2" t="s">
        <v>26</v>
      </c>
      <c r="Q543" s="2" t="s">
        <v>26</v>
      </c>
      <c r="R543" s="2" t="s">
        <v>26</v>
      </c>
    </row>
    <row r="544" spans="1:18" x14ac:dyDescent="0.3">
      <c r="A544" s="1" t="s">
        <v>2339</v>
      </c>
      <c r="B544" s="2" t="s">
        <v>3180</v>
      </c>
      <c r="C544" s="2" t="s">
        <v>3181</v>
      </c>
      <c r="D544" s="2" t="s">
        <v>3182</v>
      </c>
      <c r="E544" s="2" t="s">
        <v>3183</v>
      </c>
      <c r="F544" s="2"/>
      <c r="G544" s="2" t="s">
        <v>1532</v>
      </c>
      <c r="H544" s="2" t="s">
        <v>1533</v>
      </c>
      <c r="I544" s="2">
        <v>19713</v>
      </c>
      <c r="J544" s="2" t="s">
        <v>8</v>
      </c>
      <c r="K544" s="2" t="s">
        <v>3184</v>
      </c>
      <c r="L544" s="2" t="s">
        <v>3185</v>
      </c>
      <c r="M544" s="2" t="s">
        <v>26</v>
      </c>
      <c r="N544" s="2" t="s">
        <v>26</v>
      </c>
      <c r="O544" s="2" t="s">
        <v>26</v>
      </c>
      <c r="P544" s="8" t="s">
        <v>11</v>
      </c>
      <c r="Q544" s="2" t="s">
        <v>26</v>
      </c>
      <c r="R544" s="2" t="s">
        <v>26</v>
      </c>
    </row>
    <row r="545" spans="1:18" x14ac:dyDescent="0.3">
      <c r="A545" s="1" t="s">
        <v>3186</v>
      </c>
      <c r="B545" s="2" t="s">
        <v>279</v>
      </c>
      <c r="C545" s="2" t="s">
        <v>1081</v>
      </c>
      <c r="D545" s="2" t="s">
        <v>3187</v>
      </c>
      <c r="E545" s="2" t="s">
        <v>3188</v>
      </c>
      <c r="F545" s="2" t="s">
        <v>3189</v>
      </c>
      <c r="G545" s="2" t="s">
        <v>982</v>
      </c>
      <c r="H545" s="2" t="s">
        <v>983</v>
      </c>
      <c r="I545" s="2">
        <v>30601</v>
      </c>
      <c r="J545" s="2" t="s">
        <v>8</v>
      </c>
      <c r="K545" s="2" t="s">
        <v>3190</v>
      </c>
      <c r="L545" s="2">
        <v>6784690555</v>
      </c>
      <c r="M545" s="8" t="s">
        <v>11</v>
      </c>
      <c r="N545" s="2" t="s">
        <v>26</v>
      </c>
      <c r="O545" s="2" t="s">
        <v>26</v>
      </c>
      <c r="P545" s="2" t="s">
        <v>26</v>
      </c>
      <c r="Q545" s="2" t="s">
        <v>26</v>
      </c>
      <c r="R545" s="2" t="s">
        <v>26</v>
      </c>
    </row>
    <row r="546" spans="1:18" x14ac:dyDescent="0.3">
      <c r="A546" s="1" t="s">
        <v>3191</v>
      </c>
      <c r="B546" s="2" t="s">
        <v>279</v>
      </c>
      <c r="C546" s="2" t="s">
        <v>2112</v>
      </c>
      <c r="D546" s="2" t="s">
        <v>192</v>
      </c>
      <c r="E546" s="2" t="s">
        <v>3192</v>
      </c>
      <c r="F546" s="2"/>
      <c r="G546" s="2" t="s">
        <v>3193</v>
      </c>
      <c r="H546" s="2" t="s">
        <v>143</v>
      </c>
      <c r="I546" s="2">
        <v>7073</v>
      </c>
      <c r="J546" s="2" t="s">
        <v>8</v>
      </c>
      <c r="K546" s="2" t="s">
        <v>3194</v>
      </c>
      <c r="L546" s="2">
        <v>7143327421</v>
      </c>
      <c r="M546" s="8" t="s">
        <v>11</v>
      </c>
      <c r="N546" s="2" t="s">
        <v>26</v>
      </c>
      <c r="O546" s="2" t="s">
        <v>26</v>
      </c>
      <c r="P546" s="2" t="s">
        <v>26</v>
      </c>
      <c r="Q546" s="2" t="s">
        <v>26</v>
      </c>
      <c r="R546" s="2" t="s">
        <v>26</v>
      </c>
    </row>
    <row r="547" spans="1:18" x14ac:dyDescent="0.3">
      <c r="A547" s="1" t="s">
        <v>3195</v>
      </c>
      <c r="B547" s="2" t="s">
        <v>687</v>
      </c>
      <c r="C547" s="2" t="s">
        <v>385</v>
      </c>
      <c r="D547" s="2" t="s">
        <v>3196</v>
      </c>
      <c r="E547" s="2" t="s">
        <v>3197</v>
      </c>
      <c r="F547" s="2" t="s">
        <v>3198</v>
      </c>
      <c r="G547" s="2" t="s">
        <v>982</v>
      </c>
      <c r="H547" s="2" t="s">
        <v>983</v>
      </c>
      <c r="I547" s="2" t="s">
        <v>3199</v>
      </c>
      <c r="J547" s="2" t="s">
        <v>8</v>
      </c>
      <c r="K547" s="2" t="s">
        <v>3200</v>
      </c>
      <c r="L547" s="2">
        <v>7067159964</v>
      </c>
      <c r="M547" s="8" t="s">
        <v>11</v>
      </c>
      <c r="N547" s="2" t="s">
        <v>26</v>
      </c>
      <c r="O547" s="2" t="s">
        <v>26</v>
      </c>
      <c r="P547" s="2" t="s">
        <v>26</v>
      </c>
      <c r="Q547" s="2" t="s">
        <v>26</v>
      </c>
      <c r="R547" s="2" t="s">
        <v>26</v>
      </c>
    </row>
    <row r="548" spans="1:18" x14ac:dyDescent="0.3">
      <c r="A548" s="1" t="s">
        <v>3201</v>
      </c>
      <c r="B548" s="2" t="s">
        <v>3202</v>
      </c>
      <c r="C548" s="2" t="s">
        <v>1466</v>
      </c>
      <c r="D548" s="2" t="s">
        <v>21</v>
      </c>
      <c r="E548" s="2" t="s">
        <v>2619</v>
      </c>
      <c r="F548" s="2"/>
      <c r="G548" s="2" t="s">
        <v>623</v>
      </c>
      <c r="H548" s="2" t="s">
        <v>17</v>
      </c>
      <c r="I548" s="2">
        <v>94720</v>
      </c>
      <c r="J548" s="2" t="s">
        <v>8</v>
      </c>
      <c r="K548" s="2" t="s">
        <v>3203</v>
      </c>
      <c r="L548" s="2">
        <v>2018419775</v>
      </c>
      <c r="M548" s="2" t="s">
        <v>26</v>
      </c>
      <c r="N548" s="8" t="s">
        <v>11</v>
      </c>
      <c r="O548" s="2" t="s">
        <v>26</v>
      </c>
      <c r="P548" s="2" t="s">
        <v>26</v>
      </c>
      <c r="Q548" s="2" t="s">
        <v>26</v>
      </c>
      <c r="R548" s="2" t="s">
        <v>26</v>
      </c>
    </row>
    <row r="549" spans="1:18" x14ac:dyDescent="0.3">
      <c r="A549" s="1" t="s">
        <v>3201</v>
      </c>
      <c r="B549" s="2" t="s">
        <v>3204</v>
      </c>
      <c r="C549" s="2" t="s">
        <v>505</v>
      </c>
      <c r="D549" s="2" t="s">
        <v>3205</v>
      </c>
      <c r="E549" s="2" t="s">
        <v>3206</v>
      </c>
      <c r="F549" s="2"/>
      <c r="G549" s="2" t="s">
        <v>3207</v>
      </c>
      <c r="H549" s="2" t="s">
        <v>347</v>
      </c>
      <c r="I549" s="2">
        <v>53146</v>
      </c>
      <c r="J549" s="2" t="s">
        <v>8</v>
      </c>
      <c r="K549" s="2" t="s">
        <v>3208</v>
      </c>
      <c r="L549" s="2">
        <v>9205390515</v>
      </c>
      <c r="M549" s="2" t="s">
        <v>26</v>
      </c>
      <c r="N549" s="2" t="s">
        <v>26</v>
      </c>
      <c r="O549" s="2" t="s">
        <v>26</v>
      </c>
      <c r="P549" s="8" t="s">
        <v>11</v>
      </c>
      <c r="Q549" s="2" t="s">
        <v>26</v>
      </c>
      <c r="R549" s="2" t="s">
        <v>26</v>
      </c>
    </row>
    <row r="550" spans="1:18" x14ac:dyDescent="0.3">
      <c r="A550" s="1" t="s">
        <v>3201</v>
      </c>
      <c r="B550" s="2" t="s">
        <v>3209</v>
      </c>
      <c r="C550" s="2" t="s">
        <v>280</v>
      </c>
      <c r="D550" s="2" t="s">
        <v>3210</v>
      </c>
      <c r="E550" s="2" t="s">
        <v>3211</v>
      </c>
      <c r="F550" s="2"/>
      <c r="G550" s="2" t="s">
        <v>3210</v>
      </c>
      <c r="H550" s="2" t="s">
        <v>655</v>
      </c>
      <c r="I550" s="2">
        <v>23943</v>
      </c>
      <c r="J550" s="2" t="s">
        <v>8</v>
      </c>
      <c r="K550" s="2" t="s">
        <v>3212</v>
      </c>
      <c r="L550" s="2">
        <v>7035877047</v>
      </c>
      <c r="M550" s="2" t="s">
        <v>26</v>
      </c>
      <c r="N550" s="8" t="s">
        <v>11</v>
      </c>
      <c r="O550" s="2" t="s">
        <v>26</v>
      </c>
      <c r="P550" s="2" t="s">
        <v>26</v>
      </c>
      <c r="Q550" s="2" t="s">
        <v>26</v>
      </c>
      <c r="R550" s="2" t="s">
        <v>26</v>
      </c>
    </row>
    <row r="551" spans="1:18" x14ac:dyDescent="0.3">
      <c r="A551" s="1" t="s">
        <v>3213</v>
      </c>
      <c r="B551" s="2" t="s">
        <v>3214</v>
      </c>
      <c r="C551" s="2"/>
      <c r="D551" s="2" t="s">
        <v>1211</v>
      </c>
      <c r="E551" s="2" t="s">
        <v>3215</v>
      </c>
      <c r="F551" s="2"/>
      <c r="G551" s="2" t="s">
        <v>463</v>
      </c>
      <c r="H551" s="2" t="s">
        <v>403</v>
      </c>
      <c r="I551" s="2">
        <v>27650</v>
      </c>
      <c r="J551" s="2" t="s">
        <v>8</v>
      </c>
      <c r="K551" s="2" t="s">
        <v>3216</v>
      </c>
      <c r="L551" s="2" t="s">
        <v>3217</v>
      </c>
      <c r="M551" s="2" t="s">
        <v>26</v>
      </c>
      <c r="N551" s="2" t="s">
        <v>26</v>
      </c>
      <c r="O551" s="2" t="s">
        <v>26</v>
      </c>
      <c r="P551" s="8" t="s">
        <v>11</v>
      </c>
      <c r="Q551" s="2" t="s">
        <v>26</v>
      </c>
      <c r="R551" s="2" t="s">
        <v>26</v>
      </c>
    </row>
    <row r="552" spans="1:18" x14ac:dyDescent="0.3">
      <c r="A552" s="1" t="s">
        <v>3218</v>
      </c>
      <c r="B552" s="2" t="s">
        <v>3219</v>
      </c>
      <c r="C552" s="2" t="s">
        <v>564</v>
      </c>
      <c r="D552" s="2" t="s">
        <v>21</v>
      </c>
      <c r="E552" s="2" t="s">
        <v>3220</v>
      </c>
      <c r="F552" s="2"/>
      <c r="G552" s="2" t="s">
        <v>3131</v>
      </c>
      <c r="H552" s="2" t="s">
        <v>475</v>
      </c>
      <c r="I552" s="2">
        <v>2008</v>
      </c>
      <c r="J552" s="2" t="s">
        <v>476</v>
      </c>
      <c r="K552" s="2" t="s">
        <v>3221</v>
      </c>
      <c r="L552" s="2" t="s">
        <v>3222</v>
      </c>
      <c r="M552" s="2" t="s">
        <v>26</v>
      </c>
      <c r="N552" s="8" t="s">
        <v>11</v>
      </c>
      <c r="O552" s="2" t="s">
        <v>26</v>
      </c>
      <c r="P552" s="2" t="s">
        <v>26</v>
      </c>
      <c r="Q552" s="2" t="s">
        <v>26</v>
      </c>
      <c r="R552" s="2" t="s">
        <v>26</v>
      </c>
    </row>
    <row r="553" spans="1:18" x14ac:dyDescent="0.3">
      <c r="A553" s="1" t="s">
        <v>3223</v>
      </c>
      <c r="B553" s="2" t="s">
        <v>3224</v>
      </c>
      <c r="C553" s="2" t="s">
        <v>3023</v>
      </c>
      <c r="D553" s="2" t="s">
        <v>3225</v>
      </c>
      <c r="E553" s="2" t="s">
        <v>3226</v>
      </c>
      <c r="F553" s="2"/>
      <c r="G553" s="2" t="s">
        <v>3227</v>
      </c>
      <c r="H553" s="2" t="s">
        <v>34</v>
      </c>
      <c r="I553" s="2">
        <v>46037</v>
      </c>
      <c r="J553" s="2" t="s">
        <v>8</v>
      </c>
      <c r="K553" s="2" t="s">
        <v>3228</v>
      </c>
      <c r="L553" s="2">
        <v>8606374067</v>
      </c>
      <c r="M553" s="2" t="s">
        <v>26</v>
      </c>
      <c r="N553" s="2" t="s">
        <v>26</v>
      </c>
      <c r="O553" s="2" t="s">
        <v>26</v>
      </c>
      <c r="P553" s="8" t="s">
        <v>11</v>
      </c>
      <c r="Q553" s="2" t="s">
        <v>26</v>
      </c>
      <c r="R553" s="2" t="s">
        <v>26</v>
      </c>
    </row>
    <row r="554" spans="1:18" x14ac:dyDescent="0.3">
      <c r="A554" s="1" t="s">
        <v>3229</v>
      </c>
      <c r="B554" s="2" t="s">
        <v>3230</v>
      </c>
      <c r="C554" s="2" t="s">
        <v>3231</v>
      </c>
      <c r="D554" s="2" t="s">
        <v>859</v>
      </c>
      <c r="E554" s="2" t="s">
        <v>3232</v>
      </c>
      <c r="F554" s="2"/>
      <c r="G554" s="2" t="s">
        <v>861</v>
      </c>
      <c r="H554" s="2" t="s">
        <v>143</v>
      </c>
      <c r="I554" s="2">
        <v>8544</v>
      </c>
      <c r="J554" s="2" t="s">
        <v>8</v>
      </c>
      <c r="K554" s="2" t="s">
        <v>3233</v>
      </c>
      <c r="L554" s="2">
        <v>6092585778</v>
      </c>
      <c r="M554" s="2" t="s">
        <v>26</v>
      </c>
      <c r="N554" s="2" t="s">
        <v>26</v>
      </c>
      <c r="O554" s="2" t="s">
        <v>26</v>
      </c>
      <c r="P554" s="2" t="s">
        <v>26</v>
      </c>
      <c r="Q554" s="8" t="s">
        <v>11</v>
      </c>
      <c r="R554" s="2" t="s">
        <v>26</v>
      </c>
    </row>
    <row r="555" spans="1:18" x14ac:dyDescent="0.3">
      <c r="A555" s="1" t="s">
        <v>3234</v>
      </c>
      <c r="B555" s="2" t="s">
        <v>3235</v>
      </c>
      <c r="C555" s="2" t="s">
        <v>3236</v>
      </c>
      <c r="D555" s="2" t="s">
        <v>832</v>
      </c>
      <c r="E555" s="2" t="s">
        <v>1729</v>
      </c>
      <c r="F555" s="2"/>
      <c r="G555" s="2" t="s">
        <v>834</v>
      </c>
      <c r="H555" s="2" t="s">
        <v>403</v>
      </c>
      <c r="I555" s="2" t="s">
        <v>1730</v>
      </c>
      <c r="J555" s="2" t="s">
        <v>8</v>
      </c>
      <c r="K555" s="2" t="s">
        <v>3237</v>
      </c>
      <c r="L555" s="2" t="s">
        <v>836</v>
      </c>
      <c r="M555" s="2" t="s">
        <v>26</v>
      </c>
      <c r="N555" s="2" t="s">
        <v>26</v>
      </c>
      <c r="O555" s="2" t="s">
        <v>26</v>
      </c>
      <c r="P555" s="8" t="s">
        <v>11</v>
      </c>
      <c r="Q555" s="2" t="s">
        <v>26</v>
      </c>
      <c r="R555" s="2" t="s">
        <v>26</v>
      </c>
    </row>
    <row r="556" spans="1:18" x14ac:dyDescent="0.3">
      <c r="A556" s="1" t="s">
        <v>3238</v>
      </c>
      <c r="B556" s="2" t="s">
        <v>3239</v>
      </c>
      <c r="C556" s="2" t="s">
        <v>1224</v>
      </c>
      <c r="D556" s="2" t="s">
        <v>185</v>
      </c>
      <c r="E556" s="2" t="s">
        <v>3240</v>
      </c>
      <c r="F556" s="2" t="s">
        <v>3241</v>
      </c>
      <c r="G556" s="2" t="s">
        <v>2220</v>
      </c>
      <c r="H556" s="2" t="s">
        <v>7</v>
      </c>
      <c r="I556" s="2">
        <v>2145</v>
      </c>
      <c r="J556" s="2" t="s">
        <v>8</v>
      </c>
      <c r="K556" s="2" t="s">
        <v>3242</v>
      </c>
      <c r="L556" s="2">
        <v>6172720791</v>
      </c>
      <c r="M556" s="8" t="s">
        <v>11</v>
      </c>
      <c r="N556" s="2" t="s">
        <v>26</v>
      </c>
      <c r="O556" s="2" t="s">
        <v>26</v>
      </c>
      <c r="P556" s="2" t="s">
        <v>26</v>
      </c>
      <c r="Q556" s="2" t="s">
        <v>26</v>
      </c>
      <c r="R556" s="2" t="s">
        <v>26</v>
      </c>
    </row>
    <row r="557" spans="1:18" x14ac:dyDescent="0.3">
      <c r="A557" s="1" t="s">
        <v>3243</v>
      </c>
      <c r="B557" s="2" t="s">
        <v>371</v>
      </c>
      <c r="C557" s="2" t="s">
        <v>78</v>
      </c>
      <c r="D557" s="2" t="s">
        <v>2340</v>
      </c>
      <c r="E557" s="2" t="s">
        <v>3244</v>
      </c>
      <c r="F557" s="2"/>
      <c r="G557" s="2" t="s">
        <v>133</v>
      </c>
      <c r="H557" s="2" t="s">
        <v>134</v>
      </c>
      <c r="I557" s="2">
        <v>85716</v>
      </c>
      <c r="J557" s="2" t="s">
        <v>8</v>
      </c>
      <c r="K557" s="2" t="s">
        <v>3245</v>
      </c>
      <c r="L557" s="2">
        <v>6102357408</v>
      </c>
      <c r="M557" s="8" t="s">
        <v>11</v>
      </c>
      <c r="N557" s="2" t="s">
        <v>26</v>
      </c>
      <c r="O557" s="2" t="s">
        <v>26</v>
      </c>
      <c r="P557" s="2" t="s">
        <v>26</v>
      </c>
      <c r="Q557" s="2" t="s">
        <v>26</v>
      </c>
      <c r="R557" s="2" t="s">
        <v>26</v>
      </c>
    </row>
    <row r="558" spans="1:18" x14ac:dyDescent="0.3">
      <c r="A558" s="1" t="s">
        <v>3246</v>
      </c>
      <c r="B558" s="2" t="s">
        <v>3247</v>
      </c>
      <c r="C558" s="2" t="s">
        <v>3248</v>
      </c>
      <c r="D558" s="2" t="s">
        <v>832</v>
      </c>
      <c r="E558" s="2" t="s">
        <v>1729</v>
      </c>
      <c r="F558" s="2"/>
      <c r="G558" s="2" t="s">
        <v>834</v>
      </c>
      <c r="H558" s="2" t="s">
        <v>403</v>
      </c>
      <c r="I558" s="2" t="s">
        <v>1730</v>
      </c>
      <c r="J558" s="2" t="s">
        <v>8</v>
      </c>
      <c r="K558" s="2" t="s">
        <v>3249</v>
      </c>
      <c r="L558" s="2" t="s">
        <v>836</v>
      </c>
      <c r="M558" s="2" t="s">
        <v>26</v>
      </c>
      <c r="N558" s="2" t="s">
        <v>26</v>
      </c>
      <c r="O558" s="2" t="s">
        <v>26</v>
      </c>
      <c r="P558" s="8" t="s">
        <v>11</v>
      </c>
      <c r="Q558" s="2" t="s">
        <v>26</v>
      </c>
      <c r="R558" s="2" t="s">
        <v>26</v>
      </c>
    </row>
    <row r="559" spans="1:18" x14ac:dyDescent="0.3">
      <c r="A559" s="1" t="s">
        <v>3250</v>
      </c>
      <c r="B559" s="2" t="s">
        <v>3251</v>
      </c>
      <c r="C559" s="2" t="s">
        <v>599</v>
      </c>
      <c r="D559" s="2" t="s">
        <v>3252</v>
      </c>
      <c r="E559" s="2" t="s">
        <v>3253</v>
      </c>
      <c r="F559" s="2" t="s">
        <v>3254</v>
      </c>
      <c r="G559" s="2" t="s">
        <v>515</v>
      </c>
      <c r="H559" s="2" t="s">
        <v>34</v>
      </c>
      <c r="I559" s="2">
        <v>46032</v>
      </c>
      <c r="J559" s="2" t="s">
        <v>8</v>
      </c>
      <c r="K559" s="2" t="s">
        <v>3255</v>
      </c>
      <c r="L559" s="2">
        <v>3176802112</v>
      </c>
      <c r="M559" s="2" t="s">
        <v>26</v>
      </c>
      <c r="N559" s="2" t="s">
        <v>26</v>
      </c>
      <c r="O559" s="2" t="s">
        <v>26</v>
      </c>
      <c r="P559" s="8" t="s">
        <v>11</v>
      </c>
      <c r="Q559" s="2" t="s">
        <v>26</v>
      </c>
      <c r="R559" s="2" t="s">
        <v>26</v>
      </c>
    </row>
    <row r="560" spans="1:18" x14ac:dyDescent="0.3">
      <c r="A560" s="1" t="s">
        <v>3256</v>
      </c>
      <c r="B560" s="2" t="s">
        <v>3257</v>
      </c>
      <c r="C560" s="2" t="s">
        <v>3258</v>
      </c>
      <c r="D560" s="2" t="s">
        <v>3259</v>
      </c>
      <c r="E560" s="2" t="s">
        <v>3260</v>
      </c>
      <c r="F560" s="2"/>
      <c r="G560" s="2" t="s">
        <v>3261</v>
      </c>
      <c r="H560" s="2" t="s">
        <v>403</v>
      </c>
      <c r="I560" s="2">
        <v>27519</v>
      </c>
      <c r="J560" s="2" t="s">
        <v>8</v>
      </c>
      <c r="K560" s="2" t="s">
        <v>3262</v>
      </c>
      <c r="L560" s="2">
        <v>8582166154</v>
      </c>
      <c r="M560" s="2" t="s">
        <v>26</v>
      </c>
      <c r="N560" s="8" t="s">
        <v>11</v>
      </c>
      <c r="O560" s="2" t="s">
        <v>26</v>
      </c>
      <c r="P560" s="2" t="s">
        <v>26</v>
      </c>
      <c r="Q560" s="2" t="s">
        <v>26</v>
      </c>
      <c r="R560" s="2" t="s">
        <v>26</v>
      </c>
    </row>
    <row r="561" spans="1:18" x14ac:dyDescent="0.3">
      <c r="A561" s="1" t="s">
        <v>3263</v>
      </c>
      <c r="B561" s="2" t="s">
        <v>3264</v>
      </c>
      <c r="C561" s="2" t="s">
        <v>280</v>
      </c>
      <c r="D561" s="2" t="s">
        <v>1230</v>
      </c>
      <c r="E561" s="2" t="s">
        <v>3265</v>
      </c>
      <c r="F561" s="2"/>
      <c r="G561" s="2" t="s">
        <v>1233</v>
      </c>
      <c r="H561" s="2" t="s">
        <v>1234</v>
      </c>
      <c r="I561" s="2">
        <v>65211</v>
      </c>
      <c r="J561" s="2" t="s">
        <v>8</v>
      </c>
      <c r="K561" s="2" t="s">
        <v>3266</v>
      </c>
      <c r="L561" s="2">
        <v>7576518132</v>
      </c>
      <c r="M561" s="2" t="s">
        <v>26</v>
      </c>
      <c r="N561" s="2" t="s">
        <v>26</v>
      </c>
      <c r="O561" s="2" t="s">
        <v>26</v>
      </c>
      <c r="P561" s="2" t="s">
        <v>26</v>
      </c>
      <c r="Q561" s="8" t="s">
        <v>11</v>
      </c>
      <c r="R561" s="2" t="s">
        <v>26</v>
      </c>
    </row>
    <row r="562" spans="1:18" x14ac:dyDescent="0.3">
      <c r="A562" s="1" t="s">
        <v>3267</v>
      </c>
      <c r="B562" s="2" t="s">
        <v>3268</v>
      </c>
      <c r="C562" s="2" t="s">
        <v>238</v>
      </c>
      <c r="D562" s="2" t="s">
        <v>957</v>
      </c>
      <c r="E562" s="2" t="s">
        <v>3269</v>
      </c>
      <c r="F562" s="2"/>
      <c r="G562" s="2" t="s">
        <v>3270</v>
      </c>
      <c r="H562" s="2" t="s">
        <v>960</v>
      </c>
      <c r="I562" s="2">
        <v>3031</v>
      </c>
      <c r="J562" s="2" t="s">
        <v>476</v>
      </c>
      <c r="K562" s="2" t="s">
        <v>3271</v>
      </c>
      <c r="L562" s="2">
        <v>61424202127</v>
      </c>
      <c r="M562" s="8" t="s">
        <v>11</v>
      </c>
      <c r="N562" s="2" t="s">
        <v>26</v>
      </c>
      <c r="O562" s="2" t="s">
        <v>26</v>
      </c>
      <c r="P562" s="2" t="s">
        <v>26</v>
      </c>
      <c r="Q562" s="2" t="s">
        <v>26</v>
      </c>
      <c r="R562" s="2" t="s">
        <v>26</v>
      </c>
    </row>
    <row r="563" spans="1:18" x14ac:dyDescent="0.3">
      <c r="A563" s="1" t="s">
        <v>3272</v>
      </c>
      <c r="B563" s="2" t="s">
        <v>3273</v>
      </c>
      <c r="C563" s="2" t="s">
        <v>3274</v>
      </c>
      <c r="D563" s="2" t="s">
        <v>114</v>
      </c>
      <c r="E563" s="2" t="s">
        <v>115</v>
      </c>
      <c r="F563" s="2"/>
      <c r="G563" s="2" t="s">
        <v>116</v>
      </c>
      <c r="H563" s="2" t="s">
        <v>17</v>
      </c>
      <c r="I563" s="2">
        <v>92037</v>
      </c>
      <c r="J563" s="2" t="s">
        <v>8</v>
      </c>
      <c r="K563" s="2" t="s">
        <v>3275</v>
      </c>
      <c r="L563" s="2" t="s">
        <v>118</v>
      </c>
      <c r="M563" s="8" t="s">
        <v>11</v>
      </c>
      <c r="N563" s="2" t="s">
        <v>26</v>
      </c>
      <c r="O563" s="2" t="s">
        <v>26</v>
      </c>
      <c r="P563" s="2" t="s">
        <v>26</v>
      </c>
      <c r="Q563" s="2" t="s">
        <v>26</v>
      </c>
      <c r="R563" s="2" t="s">
        <v>26</v>
      </c>
    </row>
    <row r="564" spans="1:18" x14ac:dyDescent="0.3">
      <c r="A564" s="1" t="s">
        <v>3272</v>
      </c>
      <c r="B564" s="2" t="s">
        <v>3276</v>
      </c>
      <c r="C564" s="2" t="s">
        <v>1681</v>
      </c>
      <c r="D564" s="2" t="s">
        <v>1529</v>
      </c>
      <c r="E564" s="2" t="s">
        <v>1530</v>
      </c>
      <c r="F564" s="2"/>
      <c r="G564" s="2" t="s">
        <v>1532</v>
      </c>
      <c r="H564" s="2" t="s">
        <v>1533</v>
      </c>
      <c r="I564" s="2">
        <v>19072</v>
      </c>
      <c r="J564" s="2" t="s">
        <v>8</v>
      </c>
      <c r="K564" s="2" t="s">
        <v>3277</v>
      </c>
      <c r="L564" s="2">
        <v>7327890675</v>
      </c>
      <c r="M564" s="2" t="s">
        <v>26</v>
      </c>
      <c r="N564" s="2" t="s">
        <v>26</v>
      </c>
      <c r="O564" s="2" t="s">
        <v>26</v>
      </c>
      <c r="P564" s="2" t="s">
        <v>26</v>
      </c>
      <c r="Q564" s="2" t="s">
        <v>26</v>
      </c>
      <c r="R564" s="2" t="s">
        <v>26</v>
      </c>
    </row>
    <row r="565" spans="1:18" x14ac:dyDescent="0.3">
      <c r="A565" s="1" t="s">
        <v>3278</v>
      </c>
      <c r="B565" s="2" t="s">
        <v>2307</v>
      </c>
      <c r="C565" s="2" t="s">
        <v>544</v>
      </c>
      <c r="D565" s="2" t="s">
        <v>2027</v>
      </c>
      <c r="E565" s="2" t="s">
        <v>3279</v>
      </c>
      <c r="F565" s="2"/>
      <c r="G565" s="2" t="s">
        <v>6</v>
      </c>
      <c r="H565" s="2" t="s">
        <v>7</v>
      </c>
      <c r="I565" s="2">
        <v>2139</v>
      </c>
      <c r="J565" s="2" t="s">
        <v>8</v>
      </c>
      <c r="K565" s="2" t="s">
        <v>3280</v>
      </c>
      <c r="L565" s="2">
        <v>6175128459</v>
      </c>
      <c r="M565" s="2" t="s">
        <v>26</v>
      </c>
      <c r="N565" s="2" t="s">
        <v>26</v>
      </c>
      <c r="O565" s="2" t="s">
        <v>26</v>
      </c>
      <c r="P565" s="8" t="s">
        <v>11</v>
      </c>
      <c r="Q565" s="2" t="s">
        <v>26</v>
      </c>
      <c r="R565" s="2" t="s">
        <v>26</v>
      </c>
    </row>
    <row r="566" spans="1:18" x14ac:dyDescent="0.3">
      <c r="A566" s="1" t="s">
        <v>3281</v>
      </c>
      <c r="B566" s="2" t="s">
        <v>1549</v>
      </c>
      <c r="C566" s="2" t="s">
        <v>3282</v>
      </c>
      <c r="D566" s="2" t="s">
        <v>756</v>
      </c>
      <c r="E566" s="2" t="s">
        <v>148</v>
      </c>
      <c r="F566" s="2"/>
      <c r="G566" s="2" t="s">
        <v>149</v>
      </c>
      <c r="H566" s="2" t="s">
        <v>17</v>
      </c>
      <c r="I566" s="2">
        <v>90505</v>
      </c>
      <c r="J566" s="2" t="s">
        <v>8</v>
      </c>
      <c r="K566" s="2" t="s">
        <v>3283</v>
      </c>
      <c r="L566" s="2" t="s">
        <v>1416</v>
      </c>
      <c r="M566" s="2" t="s">
        <v>26</v>
      </c>
      <c r="N566" s="2" t="s">
        <v>26</v>
      </c>
      <c r="O566" s="2" t="s">
        <v>26</v>
      </c>
      <c r="P566" s="8" t="s">
        <v>11</v>
      </c>
      <c r="Q566" s="2" t="s">
        <v>26</v>
      </c>
      <c r="R566" s="2" t="s">
        <v>26</v>
      </c>
    </row>
    <row r="567" spans="1:18" x14ac:dyDescent="0.3">
      <c r="A567" s="1" t="s">
        <v>3284</v>
      </c>
      <c r="B567" s="2" t="s">
        <v>3285</v>
      </c>
      <c r="C567" s="2" t="s">
        <v>191</v>
      </c>
      <c r="D567" s="2" t="s">
        <v>114</v>
      </c>
      <c r="E567" s="2" t="s">
        <v>3286</v>
      </c>
      <c r="F567" s="2"/>
      <c r="G567" s="2" t="s">
        <v>16</v>
      </c>
      <c r="H567" s="2" t="s">
        <v>17</v>
      </c>
      <c r="I567" s="2" t="s">
        <v>3287</v>
      </c>
      <c r="J567" s="2" t="s">
        <v>8</v>
      </c>
      <c r="K567" s="2" t="s">
        <v>3288</v>
      </c>
      <c r="L567" s="2">
        <v>8582811704</v>
      </c>
      <c r="M567" s="8" t="s">
        <v>11</v>
      </c>
      <c r="N567" s="2" t="s">
        <v>26</v>
      </c>
      <c r="O567" s="2" t="s">
        <v>26</v>
      </c>
      <c r="P567" s="2" t="s">
        <v>26</v>
      </c>
      <c r="Q567" s="2" t="s">
        <v>26</v>
      </c>
      <c r="R567" s="2" t="s">
        <v>26</v>
      </c>
    </row>
    <row r="568" spans="1:18" x14ac:dyDescent="0.3">
      <c r="A568" s="1" t="s">
        <v>3289</v>
      </c>
      <c r="B568" s="2" t="s">
        <v>679</v>
      </c>
      <c r="C568" s="2" t="s">
        <v>37</v>
      </c>
      <c r="D568" s="2" t="s">
        <v>3290</v>
      </c>
      <c r="E568" s="2" t="s">
        <v>3291</v>
      </c>
      <c r="F568" s="2"/>
      <c r="G568" s="2" t="s">
        <v>867</v>
      </c>
      <c r="H568" s="2" t="s">
        <v>17</v>
      </c>
      <c r="I568" s="2">
        <v>94306</v>
      </c>
      <c r="J568" s="2" t="s">
        <v>8</v>
      </c>
      <c r="K568" s="2" t="s">
        <v>3292</v>
      </c>
      <c r="L568" s="2">
        <v>9505465589</v>
      </c>
      <c r="M568" s="2" t="s">
        <v>26</v>
      </c>
      <c r="N568" s="2" t="s">
        <v>26</v>
      </c>
      <c r="O568" s="8" t="s">
        <v>11</v>
      </c>
      <c r="P568" s="2" t="s">
        <v>26</v>
      </c>
      <c r="Q568" s="2" t="s">
        <v>26</v>
      </c>
      <c r="R568" s="2" t="s">
        <v>26</v>
      </c>
    </row>
    <row r="569" spans="1:18" x14ac:dyDescent="0.3">
      <c r="A569" s="1" t="s">
        <v>3289</v>
      </c>
      <c r="B569" s="2" t="s">
        <v>679</v>
      </c>
      <c r="C569" s="2" t="s">
        <v>37</v>
      </c>
      <c r="D569" s="2" t="s">
        <v>3290</v>
      </c>
      <c r="E569" s="2" t="s">
        <v>3291</v>
      </c>
      <c r="F569" s="2"/>
      <c r="G569" s="2" t="s">
        <v>867</v>
      </c>
      <c r="H569" s="2" t="s">
        <v>17</v>
      </c>
      <c r="I569" s="2">
        <v>94306</v>
      </c>
      <c r="J569" s="2" t="s">
        <v>8</v>
      </c>
      <c r="K569" s="2" t="s">
        <v>3292</v>
      </c>
      <c r="L569" s="2">
        <v>9505465589</v>
      </c>
      <c r="M569" s="2" t="s">
        <v>26</v>
      </c>
      <c r="N569" s="2" t="s">
        <v>26</v>
      </c>
      <c r="O569" s="2" t="s">
        <v>26</v>
      </c>
      <c r="P569" s="2" t="s">
        <v>26</v>
      </c>
      <c r="Q569" s="2" t="s">
        <v>26</v>
      </c>
      <c r="R569" s="2" t="s">
        <v>26</v>
      </c>
    </row>
    <row r="570" spans="1:18" x14ac:dyDescent="0.3">
      <c r="A570" s="1" t="s">
        <v>3293</v>
      </c>
      <c r="B570" s="2" t="s">
        <v>3294</v>
      </c>
      <c r="C570" s="2" t="s">
        <v>3295</v>
      </c>
      <c r="D570" s="2" t="s">
        <v>1601</v>
      </c>
      <c r="E570" s="2" t="s">
        <v>3296</v>
      </c>
      <c r="F570" s="2"/>
      <c r="G570" s="2" t="s">
        <v>3297</v>
      </c>
      <c r="H570" s="2" t="s">
        <v>1486</v>
      </c>
      <c r="I570" s="2">
        <v>80503</v>
      </c>
      <c r="J570" s="2" t="s">
        <v>8</v>
      </c>
      <c r="K570" s="2" t="s">
        <v>3298</v>
      </c>
      <c r="L570" s="2">
        <v>7046216205</v>
      </c>
      <c r="M570" s="2" t="s">
        <v>26</v>
      </c>
      <c r="N570" s="2" t="s">
        <v>26</v>
      </c>
      <c r="O570" s="2" t="s">
        <v>26</v>
      </c>
      <c r="P570" s="8" t="s">
        <v>11</v>
      </c>
      <c r="Q570" s="2" t="s">
        <v>26</v>
      </c>
      <c r="R570" s="2" t="s">
        <v>26</v>
      </c>
    </row>
    <row r="571" spans="1:18" x14ac:dyDescent="0.3">
      <c r="A571" s="1" t="s">
        <v>3299</v>
      </c>
      <c r="B571" s="2" t="s">
        <v>433</v>
      </c>
      <c r="C571" s="2" t="s">
        <v>3300</v>
      </c>
      <c r="D571" s="2" t="s">
        <v>253</v>
      </c>
      <c r="E571" s="2" t="s">
        <v>345</v>
      </c>
      <c r="F571" s="2" t="s">
        <v>1174</v>
      </c>
      <c r="G571" s="2" t="s">
        <v>2966</v>
      </c>
      <c r="H571" s="2" t="s">
        <v>250</v>
      </c>
      <c r="I571" s="2" t="s">
        <v>3301</v>
      </c>
      <c r="J571" s="2" t="s">
        <v>8</v>
      </c>
      <c r="K571" s="2" t="s">
        <v>3302</v>
      </c>
      <c r="L571" s="2">
        <v>9798451746</v>
      </c>
      <c r="M571" s="2" t="s">
        <v>26</v>
      </c>
      <c r="N571" s="2" t="s">
        <v>26</v>
      </c>
      <c r="O571" s="2" t="s">
        <v>26</v>
      </c>
      <c r="P571" s="2" t="s">
        <v>26</v>
      </c>
      <c r="Q571" s="8" t="s">
        <v>11</v>
      </c>
      <c r="R571" s="2" t="s">
        <v>26</v>
      </c>
    </row>
    <row r="572" spans="1:18" x14ac:dyDescent="0.3">
      <c r="A572" s="1" t="s">
        <v>3303</v>
      </c>
      <c r="B572" s="2" t="s">
        <v>3304</v>
      </c>
      <c r="C572" s="2" t="s">
        <v>3305</v>
      </c>
      <c r="D572" s="2" t="s">
        <v>3306</v>
      </c>
      <c r="E572" s="2" t="s">
        <v>3307</v>
      </c>
      <c r="F572" s="2">
        <v>1509</v>
      </c>
      <c r="G572" s="2" t="s">
        <v>16</v>
      </c>
      <c r="H572" s="2" t="s">
        <v>17</v>
      </c>
      <c r="I572" s="2">
        <v>92123</v>
      </c>
      <c r="J572" s="2" t="s">
        <v>8</v>
      </c>
      <c r="K572" s="2" t="s">
        <v>3308</v>
      </c>
      <c r="L572" s="2">
        <v>5302194832</v>
      </c>
      <c r="M572" s="2" t="s">
        <v>26</v>
      </c>
      <c r="N572" s="8" t="s">
        <v>11</v>
      </c>
      <c r="O572" s="2" t="s">
        <v>26</v>
      </c>
      <c r="P572" s="2" t="s">
        <v>26</v>
      </c>
      <c r="Q572" s="2" t="s">
        <v>26</v>
      </c>
      <c r="R572" s="2" t="s">
        <v>26</v>
      </c>
    </row>
    <row r="573" spans="1:18" x14ac:dyDescent="0.3">
      <c r="A573" s="1" t="s">
        <v>3309</v>
      </c>
      <c r="B573" s="2" t="s">
        <v>3310</v>
      </c>
      <c r="C573" s="2" t="s">
        <v>3311</v>
      </c>
      <c r="D573" s="2" t="s">
        <v>3312</v>
      </c>
      <c r="E573" s="2" t="s">
        <v>3313</v>
      </c>
      <c r="F573" s="2"/>
      <c r="G573" s="2" t="s">
        <v>3314</v>
      </c>
      <c r="H573" s="2" t="s">
        <v>17</v>
      </c>
      <c r="I573" s="2">
        <v>94043</v>
      </c>
      <c r="J573" s="2" t="s">
        <v>8</v>
      </c>
      <c r="K573" s="2" t="s">
        <v>3315</v>
      </c>
      <c r="L573" s="2">
        <v>2162689369</v>
      </c>
      <c r="M573" s="2" t="s">
        <v>26</v>
      </c>
      <c r="N573" s="2" t="s">
        <v>26</v>
      </c>
      <c r="O573" s="2" t="s">
        <v>26</v>
      </c>
      <c r="P573" s="8" t="s">
        <v>11</v>
      </c>
      <c r="Q573" s="2" t="s">
        <v>26</v>
      </c>
      <c r="R573" s="2" t="s">
        <v>26</v>
      </c>
    </row>
    <row r="574" spans="1:18" x14ac:dyDescent="0.3">
      <c r="A574" s="1" t="s">
        <v>3316</v>
      </c>
      <c r="B574" s="2" t="s">
        <v>3317</v>
      </c>
      <c r="C574" s="2" t="s">
        <v>3318</v>
      </c>
      <c r="D574" s="2" t="s">
        <v>3319</v>
      </c>
      <c r="E574" s="2" t="s">
        <v>3320</v>
      </c>
      <c r="F574" s="2" t="s">
        <v>3321</v>
      </c>
      <c r="G574" s="2" t="s">
        <v>502</v>
      </c>
      <c r="H574" s="2" t="s">
        <v>143</v>
      </c>
      <c r="I574" s="2">
        <v>7065</v>
      </c>
      <c r="J574" s="2" t="s">
        <v>8</v>
      </c>
      <c r="K574" s="2" t="s">
        <v>3322</v>
      </c>
      <c r="L574" s="2">
        <v>7017305090</v>
      </c>
      <c r="M574" s="2" t="s">
        <v>26</v>
      </c>
      <c r="N574" s="2" t="s">
        <v>26</v>
      </c>
      <c r="O574" s="8" t="s">
        <v>11</v>
      </c>
      <c r="P574" s="2" t="s">
        <v>26</v>
      </c>
      <c r="Q574" s="2" t="s">
        <v>26</v>
      </c>
      <c r="R574" s="2" t="s">
        <v>26</v>
      </c>
    </row>
    <row r="575" spans="1:18" x14ac:dyDescent="0.3">
      <c r="A575" s="1" t="s">
        <v>3323</v>
      </c>
      <c r="B575" s="2" t="s">
        <v>3324</v>
      </c>
      <c r="C575" s="2" t="s">
        <v>3325</v>
      </c>
      <c r="D575" s="2" t="s">
        <v>3326</v>
      </c>
      <c r="E575" s="2" t="s">
        <v>3327</v>
      </c>
      <c r="F575" s="2" t="s">
        <v>3328</v>
      </c>
      <c r="G575" s="2" t="s">
        <v>3329</v>
      </c>
      <c r="H575" s="2" t="s">
        <v>125</v>
      </c>
      <c r="I575" s="2">
        <v>60069</v>
      </c>
      <c r="J575" s="2" t="s">
        <v>8</v>
      </c>
      <c r="K575" s="2" t="s">
        <v>3330</v>
      </c>
      <c r="L575" s="2">
        <v>8478406484</v>
      </c>
      <c r="M575" s="2" t="s">
        <v>26</v>
      </c>
      <c r="N575" s="2" t="s">
        <v>26</v>
      </c>
      <c r="O575" s="2" t="s">
        <v>26</v>
      </c>
      <c r="P575" s="8" t="s">
        <v>11</v>
      </c>
      <c r="Q575" s="2" t="s">
        <v>26</v>
      </c>
      <c r="R575" s="2" t="s">
        <v>26</v>
      </c>
    </row>
    <row r="576" spans="1:18" x14ac:dyDescent="0.3">
      <c r="A576" s="1" t="s">
        <v>3323</v>
      </c>
      <c r="B576" s="2" t="s">
        <v>3331</v>
      </c>
      <c r="C576" s="2" t="s">
        <v>253</v>
      </c>
      <c r="D576" s="2" t="s">
        <v>3332</v>
      </c>
      <c r="E576" s="2" t="s">
        <v>3333</v>
      </c>
      <c r="F576" s="2"/>
      <c r="G576" s="2" t="s">
        <v>717</v>
      </c>
      <c r="H576" s="2" t="s">
        <v>17</v>
      </c>
      <c r="I576" s="2">
        <v>94123</v>
      </c>
      <c r="J576" s="2" t="s">
        <v>8</v>
      </c>
      <c r="K576" s="2" t="s">
        <v>3334</v>
      </c>
      <c r="L576" s="2" t="s">
        <v>3335</v>
      </c>
      <c r="M576" s="2" t="s">
        <v>26</v>
      </c>
      <c r="N576" s="2" t="s">
        <v>26</v>
      </c>
      <c r="O576" s="2" t="s">
        <v>26</v>
      </c>
      <c r="P576" s="2" t="s">
        <v>26</v>
      </c>
      <c r="Q576" s="8" t="s">
        <v>11</v>
      </c>
      <c r="R576" s="2" t="s">
        <v>26</v>
      </c>
    </row>
    <row r="577" spans="1:18" x14ac:dyDescent="0.3">
      <c r="A577" s="1" t="s">
        <v>3323</v>
      </c>
      <c r="B577" s="2" t="s">
        <v>3336</v>
      </c>
      <c r="C577" s="2" t="s">
        <v>253</v>
      </c>
      <c r="D577" s="2" t="s">
        <v>3337</v>
      </c>
      <c r="E577" s="2" t="s">
        <v>3338</v>
      </c>
      <c r="F577" s="2" t="s">
        <v>3339</v>
      </c>
      <c r="G577" s="2" t="s">
        <v>3340</v>
      </c>
      <c r="H577" s="2" t="s">
        <v>96</v>
      </c>
      <c r="I577" s="2" t="s">
        <v>3341</v>
      </c>
      <c r="J577" s="2" t="s">
        <v>98</v>
      </c>
      <c r="K577" s="2" t="s">
        <v>3342</v>
      </c>
      <c r="L577" s="2">
        <v>5143437339</v>
      </c>
      <c r="M577" s="2" t="s">
        <v>26</v>
      </c>
      <c r="N577" s="2" t="s">
        <v>26</v>
      </c>
      <c r="O577" s="2" t="s">
        <v>26</v>
      </c>
      <c r="P577" s="2" t="s">
        <v>26</v>
      </c>
      <c r="Q577" s="8" t="s">
        <v>11</v>
      </c>
      <c r="R577" s="2" t="s">
        <v>26</v>
      </c>
    </row>
    <row r="578" spans="1:18" x14ac:dyDescent="0.3">
      <c r="A578" s="1" t="s">
        <v>3343</v>
      </c>
      <c r="B578" s="2" t="s">
        <v>3344</v>
      </c>
      <c r="C578" s="2" t="s">
        <v>1081</v>
      </c>
      <c r="D578" s="2" t="s">
        <v>2368</v>
      </c>
      <c r="E578" s="2" t="s">
        <v>3345</v>
      </c>
      <c r="F578" s="2"/>
      <c r="G578" s="2" t="s">
        <v>16</v>
      </c>
      <c r="H578" s="2" t="s">
        <v>17</v>
      </c>
      <c r="I578" s="2">
        <v>92130</v>
      </c>
      <c r="J578" s="2" t="s">
        <v>8</v>
      </c>
      <c r="K578" s="2" t="s">
        <v>3346</v>
      </c>
      <c r="L578" s="2">
        <v>6193151455</v>
      </c>
      <c r="M578" s="8" t="s">
        <v>11</v>
      </c>
      <c r="N578" s="2" t="s">
        <v>26</v>
      </c>
      <c r="O578" s="2" t="s">
        <v>26</v>
      </c>
      <c r="P578" s="2" t="s">
        <v>26</v>
      </c>
      <c r="Q578" s="2" t="s">
        <v>26</v>
      </c>
      <c r="R578" s="2" t="s">
        <v>26</v>
      </c>
    </row>
    <row r="579" spans="1:18" x14ac:dyDescent="0.3">
      <c r="A579" s="1" t="s">
        <v>3347</v>
      </c>
      <c r="B579" s="2" t="s">
        <v>2862</v>
      </c>
      <c r="C579" s="2" t="s">
        <v>102</v>
      </c>
      <c r="D579" s="2" t="s">
        <v>2816</v>
      </c>
      <c r="E579" s="2" t="s">
        <v>2863</v>
      </c>
      <c r="F579" s="2"/>
      <c r="G579" s="2" t="s">
        <v>2818</v>
      </c>
      <c r="H579" s="2" t="s">
        <v>74</v>
      </c>
      <c r="I579" s="2">
        <v>72072</v>
      </c>
      <c r="J579" s="2" t="s">
        <v>235</v>
      </c>
      <c r="K579" s="2" t="s">
        <v>2864</v>
      </c>
      <c r="L579" s="2">
        <v>7071763157</v>
      </c>
      <c r="M579" s="2" t="s">
        <v>26</v>
      </c>
      <c r="N579" s="2" t="s">
        <v>26</v>
      </c>
      <c r="O579" s="2" t="s">
        <v>26</v>
      </c>
      <c r="P579" s="8" t="s">
        <v>11</v>
      </c>
      <c r="Q579" s="2" t="s">
        <v>26</v>
      </c>
      <c r="R579" s="2" t="s">
        <v>26</v>
      </c>
    </row>
    <row r="580" spans="1:18" x14ac:dyDescent="0.3">
      <c r="A580" s="1" t="s">
        <v>1286</v>
      </c>
      <c r="B580" s="2" t="s">
        <v>687</v>
      </c>
      <c r="C580" s="2" t="s">
        <v>3348</v>
      </c>
      <c r="D580" s="2" t="s">
        <v>3349</v>
      </c>
      <c r="E580" s="2" t="s">
        <v>3183</v>
      </c>
      <c r="F580" s="2"/>
      <c r="G580" s="2" t="s">
        <v>1532</v>
      </c>
      <c r="H580" s="2" t="s">
        <v>1533</v>
      </c>
      <c r="I580" s="2">
        <v>19713</v>
      </c>
      <c r="J580" s="2" t="s">
        <v>8</v>
      </c>
      <c r="K580" s="2" t="s">
        <v>3350</v>
      </c>
      <c r="L580" s="2" t="s">
        <v>3351</v>
      </c>
      <c r="M580" s="2" t="s">
        <v>26</v>
      </c>
      <c r="N580" s="2" t="s">
        <v>26</v>
      </c>
      <c r="O580" s="2" t="s">
        <v>26</v>
      </c>
      <c r="P580" s="8" t="s">
        <v>11</v>
      </c>
      <c r="Q580" s="2" t="s">
        <v>26</v>
      </c>
      <c r="R580" s="2" t="s">
        <v>26</v>
      </c>
    </row>
    <row r="581" spans="1:18" x14ac:dyDescent="0.3">
      <c r="A581" s="1" t="s">
        <v>3352</v>
      </c>
      <c r="B581" s="2" t="s">
        <v>1783</v>
      </c>
      <c r="C581" s="2" t="s">
        <v>3353</v>
      </c>
      <c r="D581" s="2" t="s">
        <v>435</v>
      </c>
      <c r="E581" s="2" t="s">
        <v>436</v>
      </c>
      <c r="F581" s="2"/>
      <c r="G581" s="2" t="s">
        <v>437</v>
      </c>
      <c r="H581" s="2" t="s">
        <v>17</v>
      </c>
      <c r="I581" s="2">
        <v>95035</v>
      </c>
      <c r="J581" s="2" t="s">
        <v>8</v>
      </c>
      <c r="K581" s="2" t="s">
        <v>3354</v>
      </c>
      <c r="L581" s="2" t="s">
        <v>3355</v>
      </c>
      <c r="M581" s="2" t="s">
        <v>26</v>
      </c>
      <c r="N581" s="2" t="s">
        <v>26</v>
      </c>
      <c r="O581" s="2" t="s">
        <v>26</v>
      </c>
      <c r="P581" s="8" t="s">
        <v>11</v>
      </c>
      <c r="Q581" s="2" t="s">
        <v>26</v>
      </c>
      <c r="R581" s="2" t="s">
        <v>26</v>
      </c>
    </row>
    <row r="582" spans="1:18" x14ac:dyDescent="0.3">
      <c r="A582" s="1" t="s">
        <v>3356</v>
      </c>
      <c r="B582" s="2" t="s">
        <v>3357</v>
      </c>
      <c r="C582" s="2" t="s">
        <v>238</v>
      </c>
      <c r="D582" s="2" t="s">
        <v>1579</v>
      </c>
      <c r="E582" s="2" t="s">
        <v>3358</v>
      </c>
      <c r="F582" s="2"/>
      <c r="G582" s="2" t="s">
        <v>1400</v>
      </c>
      <c r="H582" s="2" t="s">
        <v>74</v>
      </c>
      <c r="I582" s="2">
        <v>999077</v>
      </c>
      <c r="J582" s="2" t="s">
        <v>1400</v>
      </c>
      <c r="K582" s="2" t="s">
        <v>3359</v>
      </c>
      <c r="L582" s="2">
        <v>85263519567</v>
      </c>
      <c r="M582" s="2" t="s">
        <v>26</v>
      </c>
      <c r="N582" s="2" t="s">
        <v>26</v>
      </c>
      <c r="O582" s="2" t="s">
        <v>26</v>
      </c>
      <c r="P582" s="2" t="s">
        <v>26</v>
      </c>
      <c r="Q582" s="2" t="s">
        <v>26</v>
      </c>
      <c r="R582" s="2" t="s">
        <v>26</v>
      </c>
    </row>
    <row r="583" spans="1:18" x14ac:dyDescent="0.3">
      <c r="A583" s="1" t="s">
        <v>3360</v>
      </c>
      <c r="B583" s="2" t="s">
        <v>3361</v>
      </c>
      <c r="C583" s="2" t="s">
        <v>329</v>
      </c>
      <c r="D583" s="2" t="s">
        <v>3362</v>
      </c>
      <c r="E583" s="2" t="s">
        <v>56</v>
      </c>
      <c r="F583" s="2"/>
      <c r="G583" s="2" t="s">
        <v>16</v>
      </c>
      <c r="H583" s="2" t="s">
        <v>17</v>
      </c>
      <c r="I583" s="2">
        <v>92130</v>
      </c>
      <c r="J583" s="2" t="s">
        <v>8</v>
      </c>
      <c r="K583" s="2" t="s">
        <v>3363</v>
      </c>
      <c r="L583" s="2">
        <v>5303026475</v>
      </c>
      <c r="M583" s="2" t="s">
        <v>26</v>
      </c>
      <c r="N583" s="2" t="s">
        <v>26</v>
      </c>
      <c r="O583" s="2" t="s">
        <v>26</v>
      </c>
      <c r="P583" s="8" t="s">
        <v>11</v>
      </c>
      <c r="Q583" s="2" t="s">
        <v>26</v>
      </c>
      <c r="R583" s="2" t="s">
        <v>26</v>
      </c>
    </row>
    <row r="584" spans="1:18" x14ac:dyDescent="0.3">
      <c r="A584" s="1" t="s">
        <v>3027</v>
      </c>
      <c r="B584" s="2" t="s">
        <v>3364</v>
      </c>
      <c r="C584" s="2" t="s">
        <v>1145</v>
      </c>
      <c r="D584" s="2" t="s">
        <v>1250</v>
      </c>
      <c r="E584" s="2" t="s">
        <v>3365</v>
      </c>
      <c r="F584" s="2"/>
      <c r="G584" s="2" t="s">
        <v>1252</v>
      </c>
      <c r="H584" s="2" t="s">
        <v>65</v>
      </c>
      <c r="I584" s="2">
        <v>33617</v>
      </c>
      <c r="J584" s="2" t="s">
        <v>8</v>
      </c>
      <c r="K584" s="2" t="s">
        <v>3366</v>
      </c>
      <c r="L584" s="2">
        <v>8132849285</v>
      </c>
      <c r="M584" s="8" t="s">
        <v>11</v>
      </c>
      <c r="N584" s="2" t="s">
        <v>26</v>
      </c>
      <c r="O584" s="2" t="s">
        <v>26</v>
      </c>
      <c r="P584" s="2" t="s">
        <v>26</v>
      </c>
      <c r="Q584" s="2" t="s">
        <v>26</v>
      </c>
      <c r="R584" s="2" t="s">
        <v>26</v>
      </c>
    </row>
    <row r="585" spans="1:18" x14ac:dyDescent="0.3">
      <c r="A585" s="1" t="s">
        <v>3367</v>
      </c>
      <c r="B585" s="2" t="s">
        <v>3368</v>
      </c>
      <c r="C585" s="2" t="s">
        <v>253</v>
      </c>
      <c r="D585" s="2" t="s">
        <v>3187</v>
      </c>
      <c r="E585" s="2" t="s">
        <v>3369</v>
      </c>
      <c r="F585" s="2"/>
      <c r="G585" s="2" t="s">
        <v>982</v>
      </c>
      <c r="H585" s="2" t="s">
        <v>983</v>
      </c>
      <c r="I585" s="2">
        <v>30602</v>
      </c>
      <c r="J585" s="2" t="s">
        <v>8</v>
      </c>
      <c r="K585" s="2" t="s">
        <v>3370</v>
      </c>
      <c r="L585" s="2">
        <v>4042765637</v>
      </c>
      <c r="M585" s="2" t="s">
        <v>26</v>
      </c>
      <c r="N585" s="2" t="s">
        <v>26</v>
      </c>
      <c r="O585" s="2" t="s">
        <v>26</v>
      </c>
      <c r="P585" s="2" t="s">
        <v>26</v>
      </c>
      <c r="Q585" s="8" t="s">
        <v>11</v>
      </c>
      <c r="R585" s="2" t="s">
        <v>26</v>
      </c>
    </row>
    <row r="586" spans="1:18" x14ac:dyDescent="0.3">
      <c r="A586" s="1" t="s">
        <v>3371</v>
      </c>
      <c r="B586" s="2" t="s">
        <v>3372</v>
      </c>
      <c r="C586" s="2" t="s">
        <v>3373</v>
      </c>
      <c r="D586" s="2" t="s">
        <v>3374</v>
      </c>
      <c r="E586" s="2" t="s">
        <v>3375</v>
      </c>
      <c r="F586" s="2"/>
      <c r="G586" s="2" t="s">
        <v>3376</v>
      </c>
      <c r="H586" s="2" t="s">
        <v>125</v>
      </c>
      <c r="I586" s="2">
        <v>61822</v>
      </c>
      <c r="J586" s="2" t="s">
        <v>8</v>
      </c>
      <c r="K586" s="2" t="s">
        <v>3377</v>
      </c>
      <c r="L586" s="2">
        <v>6622025584</v>
      </c>
      <c r="M586" s="2" t="s">
        <v>26</v>
      </c>
      <c r="N586" s="8" t="s">
        <v>11</v>
      </c>
      <c r="O586" s="2" t="s">
        <v>26</v>
      </c>
      <c r="P586" s="2" t="s">
        <v>26</v>
      </c>
      <c r="Q586" s="2" t="s">
        <v>26</v>
      </c>
      <c r="R586" s="2" t="s">
        <v>26</v>
      </c>
    </row>
    <row r="587" spans="1:18" x14ac:dyDescent="0.3">
      <c r="A587" s="1" t="s">
        <v>190</v>
      </c>
      <c r="B587" s="2" t="s">
        <v>3378</v>
      </c>
      <c r="C587" s="2" t="s">
        <v>385</v>
      </c>
      <c r="D587" s="2" t="s">
        <v>3379</v>
      </c>
      <c r="E587" s="2" t="s">
        <v>3380</v>
      </c>
      <c r="F587" s="2"/>
      <c r="G587" s="2" t="s">
        <v>1722</v>
      </c>
      <c r="H587" s="2" t="s">
        <v>1723</v>
      </c>
      <c r="I587" s="2" t="s">
        <v>3381</v>
      </c>
      <c r="J587" s="2" t="s">
        <v>98</v>
      </c>
      <c r="K587" s="2" t="s">
        <v>3382</v>
      </c>
      <c r="L587" s="2">
        <v>5879371422</v>
      </c>
      <c r="M587" s="8" t="s">
        <v>11</v>
      </c>
      <c r="N587" s="2" t="s">
        <v>26</v>
      </c>
      <c r="O587" s="2" t="s">
        <v>26</v>
      </c>
      <c r="P587" s="2" t="s">
        <v>26</v>
      </c>
      <c r="Q587" s="2" t="s">
        <v>26</v>
      </c>
      <c r="R587" s="2" t="s">
        <v>26</v>
      </c>
    </row>
    <row r="588" spans="1:18" x14ac:dyDescent="0.3">
      <c r="A588" s="1" t="s">
        <v>3383</v>
      </c>
      <c r="B588" s="2" t="s">
        <v>3384</v>
      </c>
      <c r="C588" s="2" t="s">
        <v>585</v>
      </c>
      <c r="D588" s="2" t="s">
        <v>103</v>
      </c>
      <c r="E588" s="2" t="s">
        <v>3385</v>
      </c>
      <c r="F588" s="2" t="s">
        <v>3386</v>
      </c>
      <c r="G588" s="2" t="s">
        <v>105</v>
      </c>
      <c r="H588" s="2" t="s">
        <v>74</v>
      </c>
      <c r="I588" s="2">
        <v>1010</v>
      </c>
      <c r="J588" s="2" t="s">
        <v>106</v>
      </c>
      <c r="K588" s="2" t="s">
        <v>3387</v>
      </c>
      <c r="L588" s="2">
        <v>64225331576</v>
      </c>
      <c r="M588" s="2" t="s">
        <v>26</v>
      </c>
      <c r="N588" s="2" t="s">
        <v>26</v>
      </c>
      <c r="O588" s="8" t="s">
        <v>11</v>
      </c>
      <c r="P588" s="2" t="s">
        <v>26</v>
      </c>
      <c r="Q588" s="2" t="s">
        <v>26</v>
      </c>
      <c r="R588" s="2" t="s">
        <v>26</v>
      </c>
    </row>
    <row r="589" spans="1:18" x14ac:dyDescent="0.3">
      <c r="A589" s="1" t="s">
        <v>3388</v>
      </c>
      <c r="B589" s="2" t="s">
        <v>1549</v>
      </c>
      <c r="C589" s="2" t="s">
        <v>3389</v>
      </c>
      <c r="D589" s="2" t="s">
        <v>3390</v>
      </c>
      <c r="E589" s="2" t="s">
        <v>3391</v>
      </c>
      <c r="F589" s="2"/>
      <c r="G589" s="2" t="s">
        <v>445</v>
      </c>
      <c r="H589" s="2" t="s">
        <v>74</v>
      </c>
      <c r="I589" s="2">
        <v>13353</v>
      </c>
      <c r="J589" s="2" t="s">
        <v>235</v>
      </c>
      <c r="K589" s="2" t="s">
        <v>3392</v>
      </c>
      <c r="L589" s="2">
        <v>1742301862</v>
      </c>
      <c r="M589" s="2" t="s">
        <v>26</v>
      </c>
      <c r="N589" s="2" t="s">
        <v>26</v>
      </c>
      <c r="O589" s="2" t="s">
        <v>26</v>
      </c>
      <c r="P589" s="8" t="s">
        <v>11</v>
      </c>
      <c r="Q589" s="2" t="s">
        <v>26</v>
      </c>
      <c r="R589" s="2" t="s">
        <v>26</v>
      </c>
    </row>
    <row r="590" spans="1:18" x14ac:dyDescent="0.3">
      <c r="A590" s="1" t="s">
        <v>3393</v>
      </c>
      <c r="B590" s="2" t="s">
        <v>3394</v>
      </c>
      <c r="C590" s="2" t="s">
        <v>1578</v>
      </c>
      <c r="D590" s="2" t="s">
        <v>1579</v>
      </c>
      <c r="E590" s="2" t="s">
        <v>3395</v>
      </c>
      <c r="F590" s="2" t="s">
        <v>3396</v>
      </c>
      <c r="G590" s="2" t="s">
        <v>1400</v>
      </c>
      <c r="H590" s="2" t="s">
        <v>74</v>
      </c>
      <c r="I590" s="2">
        <v>999077</v>
      </c>
      <c r="J590" s="2" t="s">
        <v>509</v>
      </c>
      <c r="K590" s="2" t="s">
        <v>3397</v>
      </c>
      <c r="L590" s="2" t="s">
        <v>3398</v>
      </c>
      <c r="M590" s="2" t="s">
        <v>26</v>
      </c>
      <c r="N590" s="2" t="s">
        <v>26</v>
      </c>
      <c r="O590" s="2" t="s">
        <v>26</v>
      </c>
      <c r="P590" s="2" t="s">
        <v>26</v>
      </c>
      <c r="Q590" s="2" t="s">
        <v>26</v>
      </c>
      <c r="R590" s="2" t="s">
        <v>26</v>
      </c>
    </row>
    <row r="591" spans="1:18" x14ac:dyDescent="0.3">
      <c r="A591" s="1" t="s">
        <v>3399</v>
      </c>
      <c r="B591" s="2" t="s">
        <v>1508</v>
      </c>
      <c r="C591" s="2" t="s">
        <v>1704</v>
      </c>
      <c r="D591" s="2" t="s">
        <v>3400</v>
      </c>
      <c r="E591" s="2" t="s">
        <v>3401</v>
      </c>
      <c r="F591" s="2" t="s">
        <v>3402</v>
      </c>
      <c r="G591" s="2" t="s">
        <v>623</v>
      </c>
      <c r="H591" s="2" t="s">
        <v>17</v>
      </c>
      <c r="I591" s="2">
        <v>94709</v>
      </c>
      <c r="J591" s="2" t="s">
        <v>8</v>
      </c>
      <c r="K591" s="2" t="s">
        <v>3403</v>
      </c>
      <c r="L591" s="2" t="s">
        <v>3404</v>
      </c>
      <c r="M591" s="2" t="s">
        <v>26</v>
      </c>
      <c r="N591" s="2" t="s">
        <v>26</v>
      </c>
      <c r="O591" s="8" t="s">
        <v>11</v>
      </c>
      <c r="P591" s="2" t="s">
        <v>26</v>
      </c>
      <c r="Q591" s="2" t="s">
        <v>26</v>
      </c>
      <c r="R591" s="2" t="s">
        <v>26</v>
      </c>
    </row>
    <row r="592" spans="1:18" x14ac:dyDescent="0.3">
      <c r="A592" s="1" t="s">
        <v>3405</v>
      </c>
      <c r="B592" s="2" t="s">
        <v>3406</v>
      </c>
      <c r="C592" s="2" t="s">
        <v>191</v>
      </c>
      <c r="D592" s="2" t="s">
        <v>3407</v>
      </c>
      <c r="E592" s="2" t="s">
        <v>3408</v>
      </c>
      <c r="F592" s="2"/>
      <c r="G592" s="2" t="s">
        <v>3409</v>
      </c>
      <c r="H592" s="2" t="s">
        <v>74</v>
      </c>
      <c r="I592" s="2">
        <v>0</v>
      </c>
      <c r="J592" s="2" t="s">
        <v>1400</v>
      </c>
      <c r="K592" s="2" t="s">
        <v>3410</v>
      </c>
      <c r="L592" s="2" t="s">
        <v>3411</v>
      </c>
      <c r="M592" s="8" t="s">
        <v>11</v>
      </c>
      <c r="N592" s="2" t="s">
        <v>26</v>
      </c>
      <c r="O592" s="2" t="s">
        <v>26</v>
      </c>
      <c r="P592" s="2" t="s">
        <v>26</v>
      </c>
      <c r="Q592" s="2" t="s">
        <v>26</v>
      </c>
      <c r="R592" s="2" t="s">
        <v>26</v>
      </c>
    </row>
    <row r="593" spans="1:18" x14ac:dyDescent="0.3">
      <c r="A593" s="1" t="s">
        <v>3412</v>
      </c>
      <c r="B593" s="2" t="s">
        <v>3413</v>
      </c>
      <c r="C593" s="2" t="s">
        <v>253</v>
      </c>
      <c r="D593" s="2" t="s">
        <v>2959</v>
      </c>
      <c r="E593" s="2" t="s">
        <v>3039</v>
      </c>
      <c r="F593" s="2"/>
      <c r="G593" s="2" t="s">
        <v>1277</v>
      </c>
      <c r="H593" s="2" t="s">
        <v>74</v>
      </c>
      <c r="I593" s="2" t="s">
        <v>2961</v>
      </c>
      <c r="J593" s="2" t="s">
        <v>417</v>
      </c>
      <c r="K593" s="2" t="s">
        <v>3414</v>
      </c>
      <c r="L593" s="2">
        <v>81423675667</v>
      </c>
      <c r="M593" s="2" t="s">
        <v>26</v>
      </c>
      <c r="N593" s="2" t="s">
        <v>26</v>
      </c>
      <c r="O593" s="2" t="s">
        <v>26</v>
      </c>
      <c r="P593" s="2" t="s">
        <v>26</v>
      </c>
      <c r="Q593" s="8" t="s">
        <v>11</v>
      </c>
      <c r="R593" s="2" t="s">
        <v>26</v>
      </c>
    </row>
    <row r="594" spans="1:18" x14ac:dyDescent="0.3">
      <c r="A594" s="1" t="s">
        <v>3415</v>
      </c>
      <c r="B594" s="2" t="s">
        <v>3416</v>
      </c>
      <c r="C594" s="2" t="s">
        <v>3417</v>
      </c>
      <c r="D594" s="2" t="s">
        <v>3418</v>
      </c>
      <c r="E594" s="2" t="s">
        <v>3419</v>
      </c>
      <c r="F594" s="2"/>
      <c r="G594" s="2" t="s">
        <v>3420</v>
      </c>
      <c r="H594" s="2" t="s">
        <v>17</v>
      </c>
      <c r="I594" s="2">
        <v>94806</v>
      </c>
      <c r="J594" s="2" t="s">
        <v>8</v>
      </c>
      <c r="K594" s="2" t="s">
        <v>3421</v>
      </c>
      <c r="L594" s="2">
        <v>2132203435</v>
      </c>
      <c r="M594" s="2" t="s">
        <v>26</v>
      </c>
      <c r="N594" s="2" t="s">
        <v>26</v>
      </c>
      <c r="O594" s="8" t="s">
        <v>11</v>
      </c>
      <c r="P594" s="2" t="s">
        <v>26</v>
      </c>
      <c r="Q594" s="2" t="s">
        <v>26</v>
      </c>
      <c r="R594" s="2" t="s">
        <v>26</v>
      </c>
    </row>
    <row r="595" spans="1:18" x14ac:dyDescent="0.3">
      <c r="A595" s="1" t="s">
        <v>3422</v>
      </c>
      <c r="B595" s="2" t="s">
        <v>3423</v>
      </c>
      <c r="C595" s="2" t="s">
        <v>3424</v>
      </c>
      <c r="D595" s="2" t="s">
        <v>3425</v>
      </c>
      <c r="E595" s="2" t="s">
        <v>3426</v>
      </c>
      <c r="F595" s="2"/>
      <c r="G595" s="2" t="s">
        <v>3427</v>
      </c>
      <c r="H595" s="2" t="s">
        <v>7</v>
      </c>
      <c r="I595" s="2">
        <v>1760</v>
      </c>
      <c r="J595" s="2" t="s">
        <v>8</v>
      </c>
      <c r="K595" s="2" t="s">
        <v>3428</v>
      </c>
      <c r="L595" s="2">
        <v>6177975585</v>
      </c>
      <c r="M595" s="2" t="s">
        <v>26</v>
      </c>
      <c r="N595" s="2" t="s">
        <v>26</v>
      </c>
      <c r="O595" s="2" t="s">
        <v>26</v>
      </c>
      <c r="P595" s="2" t="s">
        <v>26</v>
      </c>
      <c r="Q595" s="2" t="s">
        <v>26</v>
      </c>
      <c r="R595" s="2" t="s">
        <v>26</v>
      </c>
    </row>
    <row r="596" spans="1:18" x14ac:dyDescent="0.3">
      <c r="A596" s="1" t="s">
        <v>3429</v>
      </c>
      <c r="B596" s="2" t="s">
        <v>3430</v>
      </c>
      <c r="C596" s="2" t="s">
        <v>3431</v>
      </c>
      <c r="D596" s="2" t="s">
        <v>3432</v>
      </c>
      <c r="E596" s="2" t="s">
        <v>3433</v>
      </c>
      <c r="F596" s="2"/>
      <c r="G596" s="2" t="s">
        <v>3434</v>
      </c>
      <c r="H596" s="2" t="s">
        <v>74</v>
      </c>
      <c r="I596" s="2" t="s">
        <v>3435</v>
      </c>
      <c r="J596" s="2" t="s">
        <v>417</v>
      </c>
      <c r="K596" s="2" t="s">
        <v>3436</v>
      </c>
      <c r="L596" s="2">
        <v>774383211</v>
      </c>
      <c r="M596" s="2" t="s">
        <v>26</v>
      </c>
      <c r="N596" s="2" t="s">
        <v>26</v>
      </c>
      <c r="O596" s="2" t="s">
        <v>26</v>
      </c>
      <c r="P596" s="2" t="s">
        <v>26</v>
      </c>
      <c r="Q596" s="8" t="s">
        <v>11</v>
      </c>
      <c r="R596" s="2" t="s">
        <v>26</v>
      </c>
    </row>
    <row r="597" spans="1:18" x14ac:dyDescent="0.3">
      <c r="A597" s="1" t="s">
        <v>1577</v>
      </c>
      <c r="B597" s="2" t="s">
        <v>3437</v>
      </c>
      <c r="C597" s="2" t="s">
        <v>1466</v>
      </c>
      <c r="D597" s="2" t="s">
        <v>3438</v>
      </c>
      <c r="E597" s="2" t="s">
        <v>3439</v>
      </c>
      <c r="F597" s="2"/>
      <c r="G597" s="2" t="s">
        <v>3440</v>
      </c>
      <c r="H597" s="2" t="s">
        <v>74</v>
      </c>
      <c r="I597" s="2">
        <v>8826</v>
      </c>
      <c r="J597" s="2" t="s">
        <v>1346</v>
      </c>
      <c r="K597" s="2" t="s">
        <v>3441</v>
      </c>
      <c r="L597" s="2" t="s">
        <v>3442</v>
      </c>
      <c r="M597" s="2" t="s">
        <v>26</v>
      </c>
      <c r="N597" s="2" t="s">
        <v>26</v>
      </c>
      <c r="O597" s="2" t="s">
        <v>26</v>
      </c>
      <c r="P597" s="8" t="s">
        <v>11</v>
      </c>
      <c r="Q597" s="2" t="s">
        <v>26</v>
      </c>
      <c r="R597" s="2" t="s">
        <v>26</v>
      </c>
    </row>
    <row r="598" spans="1:18" x14ac:dyDescent="0.3">
      <c r="A598" s="1" t="s">
        <v>3443</v>
      </c>
      <c r="B598" s="2" t="s">
        <v>3444</v>
      </c>
      <c r="C598" s="2" t="s">
        <v>471</v>
      </c>
      <c r="D598" s="2" t="s">
        <v>1250</v>
      </c>
      <c r="E598" s="2" t="s">
        <v>3445</v>
      </c>
      <c r="F598" s="2" t="s">
        <v>3446</v>
      </c>
      <c r="G598" s="2" t="s">
        <v>1252</v>
      </c>
      <c r="H598" s="2" t="s">
        <v>65</v>
      </c>
      <c r="I598" s="2">
        <v>33617</v>
      </c>
      <c r="J598" s="2" t="s">
        <v>8</v>
      </c>
      <c r="K598" s="2" t="s">
        <v>3447</v>
      </c>
      <c r="L598" s="2">
        <v>8138592408</v>
      </c>
      <c r="M598" s="8" t="s">
        <v>11</v>
      </c>
      <c r="N598" s="2" t="s">
        <v>26</v>
      </c>
      <c r="O598" s="2" t="s">
        <v>26</v>
      </c>
      <c r="P598" s="2" t="s">
        <v>26</v>
      </c>
      <c r="Q598" s="2" t="s">
        <v>26</v>
      </c>
      <c r="R598" s="2" t="s">
        <v>26</v>
      </c>
    </row>
    <row r="599" spans="1:18" x14ac:dyDescent="0.3">
      <c r="A599" s="1" t="s">
        <v>3448</v>
      </c>
      <c r="B599" s="2" t="s">
        <v>3449</v>
      </c>
      <c r="C599" s="2" t="s">
        <v>29</v>
      </c>
      <c r="D599" s="2" t="s">
        <v>865</v>
      </c>
      <c r="E599" s="2" t="s">
        <v>3450</v>
      </c>
      <c r="F599" s="2"/>
      <c r="G599" s="2" t="s">
        <v>867</v>
      </c>
      <c r="H599" s="2" t="s">
        <v>17</v>
      </c>
      <c r="I599" s="2">
        <v>94304</v>
      </c>
      <c r="J599" s="2" t="s">
        <v>8</v>
      </c>
      <c r="K599" s="2" t="s">
        <v>3451</v>
      </c>
      <c r="L599" s="2">
        <v>6505465612</v>
      </c>
      <c r="M599" s="2" t="s">
        <v>26</v>
      </c>
      <c r="N599" s="2" t="s">
        <v>26</v>
      </c>
      <c r="O599" s="8" t="s">
        <v>11</v>
      </c>
      <c r="P599" s="2" t="s">
        <v>26</v>
      </c>
      <c r="Q599" s="2" t="s">
        <v>26</v>
      </c>
      <c r="R599" s="2" t="s">
        <v>26</v>
      </c>
    </row>
    <row r="600" spans="1:18" x14ac:dyDescent="0.3">
      <c r="A600" s="1" t="s">
        <v>3448</v>
      </c>
      <c r="B600" s="2" t="s">
        <v>3449</v>
      </c>
      <c r="C600" s="2" t="s">
        <v>29</v>
      </c>
      <c r="D600" s="2" t="s">
        <v>865</v>
      </c>
      <c r="E600" s="2" t="s">
        <v>3450</v>
      </c>
      <c r="F600" s="2"/>
      <c r="G600" s="2" t="s">
        <v>867</v>
      </c>
      <c r="H600" s="2" t="s">
        <v>17</v>
      </c>
      <c r="I600" s="2">
        <v>94304</v>
      </c>
      <c r="J600" s="2" t="s">
        <v>8</v>
      </c>
      <c r="K600" s="2" t="s">
        <v>3451</v>
      </c>
      <c r="L600" s="2">
        <v>6505465612</v>
      </c>
      <c r="M600" s="2" t="s">
        <v>26</v>
      </c>
      <c r="N600" s="2" t="s">
        <v>26</v>
      </c>
      <c r="O600" s="2" t="s">
        <v>26</v>
      </c>
      <c r="P600" s="2" t="s">
        <v>26</v>
      </c>
      <c r="Q600" s="2" t="s">
        <v>26</v>
      </c>
      <c r="R600" s="2" t="s">
        <v>26</v>
      </c>
    </row>
    <row r="601" spans="1:18" x14ac:dyDescent="0.3">
      <c r="A601" s="1" t="s">
        <v>3452</v>
      </c>
      <c r="B601" s="2" t="s">
        <v>458</v>
      </c>
      <c r="C601" s="2" t="s">
        <v>3453</v>
      </c>
      <c r="D601" s="2" t="s">
        <v>1389</v>
      </c>
      <c r="E601" s="2" t="s">
        <v>3454</v>
      </c>
      <c r="F601" s="2"/>
      <c r="G601" s="2" t="s">
        <v>424</v>
      </c>
      <c r="H601" s="2" t="s">
        <v>17</v>
      </c>
      <c r="I601" s="2">
        <v>92612</v>
      </c>
      <c r="J601" s="2" t="s">
        <v>8</v>
      </c>
      <c r="K601" s="2" t="s">
        <v>3455</v>
      </c>
      <c r="L601" s="2">
        <v>3105606267</v>
      </c>
      <c r="M601" s="8" t="s">
        <v>11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</row>
    <row r="602" spans="1:18" x14ac:dyDescent="0.3">
      <c r="A602" s="1" t="s">
        <v>3456</v>
      </c>
      <c r="B602" s="2" t="s">
        <v>3457</v>
      </c>
      <c r="C602" s="2" t="s">
        <v>3458</v>
      </c>
      <c r="D602" s="2" t="s">
        <v>1409</v>
      </c>
      <c r="E602" s="2" t="s">
        <v>1410</v>
      </c>
      <c r="F602" s="2" t="s">
        <v>3459</v>
      </c>
      <c r="G602" s="2" t="s">
        <v>488</v>
      </c>
      <c r="H602" s="2" t="s">
        <v>489</v>
      </c>
      <c r="I602" s="2">
        <v>15260</v>
      </c>
      <c r="J602" s="2" t="s">
        <v>8</v>
      </c>
      <c r="K602" s="2" t="s">
        <v>3460</v>
      </c>
      <c r="L602" s="2">
        <v>4128808836</v>
      </c>
      <c r="M602" s="8" t="s">
        <v>11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</row>
    <row r="603" spans="1:18" x14ac:dyDescent="0.3">
      <c r="A603" s="1" t="s">
        <v>3461</v>
      </c>
      <c r="B603" s="2" t="s">
        <v>3462</v>
      </c>
      <c r="C603" s="2" t="s">
        <v>29</v>
      </c>
      <c r="D603" s="2" t="s">
        <v>2974</v>
      </c>
      <c r="E603" s="2" t="s">
        <v>3463</v>
      </c>
      <c r="F603" s="2"/>
      <c r="G603" s="2" t="s">
        <v>1277</v>
      </c>
      <c r="H603" s="2" t="s">
        <v>74</v>
      </c>
      <c r="I603" s="2" t="s">
        <v>3464</v>
      </c>
      <c r="J603" s="2" t="s">
        <v>417</v>
      </c>
      <c r="K603" s="2" t="s">
        <v>3465</v>
      </c>
      <c r="L603" s="2">
        <f>81-42-676-5669</f>
        <v>-6306</v>
      </c>
      <c r="M603" s="2" t="s">
        <v>26</v>
      </c>
      <c r="N603" s="2" t="s">
        <v>26</v>
      </c>
      <c r="O603" s="2" t="s">
        <v>26</v>
      </c>
      <c r="P603" s="2" t="s">
        <v>26</v>
      </c>
      <c r="Q603" s="8" t="s">
        <v>11</v>
      </c>
      <c r="R603" s="2" t="s">
        <v>26</v>
      </c>
    </row>
    <row r="604" spans="1:18" x14ac:dyDescent="0.3">
      <c r="A604" s="1" t="s">
        <v>3466</v>
      </c>
      <c r="B604" s="2" t="s">
        <v>3467</v>
      </c>
      <c r="C604" s="2" t="s">
        <v>253</v>
      </c>
      <c r="D604" s="2" t="s">
        <v>3432</v>
      </c>
      <c r="E604" s="2" t="s">
        <v>3468</v>
      </c>
      <c r="F604" s="2"/>
      <c r="G604" s="2" t="s">
        <v>3469</v>
      </c>
      <c r="H604" s="2" t="s">
        <v>74</v>
      </c>
      <c r="I604" s="2" t="s">
        <v>3470</v>
      </c>
      <c r="J604" s="2" t="s">
        <v>417</v>
      </c>
      <c r="K604" s="2" t="s">
        <v>3471</v>
      </c>
      <c r="L604" s="2">
        <f>81-75-753-4002</f>
        <v>-4749</v>
      </c>
      <c r="M604" s="2" t="s">
        <v>26</v>
      </c>
      <c r="N604" s="2" t="s">
        <v>26</v>
      </c>
      <c r="O604" s="2" t="s">
        <v>26</v>
      </c>
      <c r="P604" s="2" t="s">
        <v>26</v>
      </c>
      <c r="Q604" s="8" t="s">
        <v>11</v>
      </c>
      <c r="R604" s="2" t="s">
        <v>26</v>
      </c>
    </row>
    <row r="605" spans="1:18" x14ac:dyDescent="0.3">
      <c r="A605" s="1" t="s">
        <v>3472</v>
      </c>
      <c r="B605" s="2" t="s">
        <v>3473</v>
      </c>
      <c r="C605" s="2" t="s">
        <v>3474</v>
      </c>
      <c r="D605" s="2" t="s">
        <v>3475</v>
      </c>
      <c r="E605" s="2" t="s">
        <v>3476</v>
      </c>
      <c r="F605" s="2"/>
      <c r="G605" s="2" t="s">
        <v>3477</v>
      </c>
      <c r="H605" s="2" t="s">
        <v>74</v>
      </c>
      <c r="I605" s="2" t="s">
        <v>3478</v>
      </c>
      <c r="J605" s="2" t="s">
        <v>417</v>
      </c>
      <c r="K605" s="2" t="s">
        <v>3479</v>
      </c>
      <c r="L605" s="2">
        <f>81-50-3517-9274</f>
        <v>-12760</v>
      </c>
      <c r="M605" s="2" t="s">
        <v>26</v>
      </c>
      <c r="N605" s="2" t="s">
        <v>26</v>
      </c>
      <c r="O605" s="2" t="s">
        <v>26</v>
      </c>
      <c r="P605" s="8" t="s">
        <v>11</v>
      </c>
      <c r="Q605" s="2" t="s">
        <v>26</v>
      </c>
      <c r="R605" s="2" t="s">
        <v>26</v>
      </c>
    </row>
    <row r="606" spans="1:18" x14ac:dyDescent="0.3">
      <c r="A606" s="1" t="s">
        <v>3480</v>
      </c>
      <c r="B606" s="2" t="s">
        <v>3457</v>
      </c>
      <c r="C606" s="2" t="s">
        <v>253</v>
      </c>
      <c r="D606" s="2" t="s">
        <v>185</v>
      </c>
      <c r="E606" s="2" t="s">
        <v>1734</v>
      </c>
      <c r="F606" s="2"/>
      <c r="G606" s="2" t="s">
        <v>1329</v>
      </c>
      <c r="H606" s="2" t="s">
        <v>7</v>
      </c>
      <c r="I606" s="2">
        <v>2155</v>
      </c>
      <c r="J606" s="2" t="s">
        <v>8</v>
      </c>
      <c r="K606" s="2" t="s">
        <v>3481</v>
      </c>
      <c r="L606" s="2">
        <v>6176273689</v>
      </c>
      <c r="M606" s="2" t="s">
        <v>26</v>
      </c>
      <c r="N606" s="2" t="s">
        <v>26</v>
      </c>
      <c r="O606" s="2" t="s">
        <v>26</v>
      </c>
      <c r="P606" s="2" t="s">
        <v>26</v>
      </c>
      <c r="Q606" s="8" t="s">
        <v>11</v>
      </c>
      <c r="R606" s="2" t="s">
        <v>26</v>
      </c>
    </row>
    <row r="607" spans="1:18" x14ac:dyDescent="0.3">
      <c r="A607" s="1" t="s">
        <v>3482</v>
      </c>
      <c r="B607" s="2" t="s">
        <v>433</v>
      </c>
      <c r="C607" s="2" t="s">
        <v>280</v>
      </c>
      <c r="D607" s="2" t="s">
        <v>2368</v>
      </c>
      <c r="E607" s="2" t="s">
        <v>2369</v>
      </c>
      <c r="F607" s="2" t="s">
        <v>3483</v>
      </c>
      <c r="G607" s="2" t="s">
        <v>116</v>
      </c>
      <c r="H607" s="2" t="s">
        <v>17</v>
      </c>
      <c r="I607" s="2">
        <v>92037</v>
      </c>
      <c r="J607" s="2" t="s">
        <v>8</v>
      </c>
      <c r="K607" s="2" t="s">
        <v>3484</v>
      </c>
      <c r="L607" s="2">
        <v>7342767514</v>
      </c>
      <c r="M607" s="2" t="s">
        <v>26</v>
      </c>
      <c r="N607" s="2" t="s">
        <v>26</v>
      </c>
      <c r="O607" s="2" t="s">
        <v>26</v>
      </c>
      <c r="P607" s="2" t="s">
        <v>26</v>
      </c>
      <c r="Q607" s="8" t="s">
        <v>11</v>
      </c>
      <c r="R607" s="2" t="s">
        <v>26</v>
      </c>
    </row>
    <row r="608" spans="1:18" x14ac:dyDescent="0.3">
      <c r="A608" s="1" t="s">
        <v>3485</v>
      </c>
      <c r="B608" s="2" t="s">
        <v>3486</v>
      </c>
      <c r="C608" s="2" t="s">
        <v>3487</v>
      </c>
      <c r="D608" s="2" t="s">
        <v>379</v>
      </c>
      <c r="E608" s="2" t="s">
        <v>380</v>
      </c>
      <c r="F608" s="2"/>
      <c r="G608" s="2" t="s">
        <v>16</v>
      </c>
      <c r="H608" s="2" t="s">
        <v>17</v>
      </c>
      <c r="I608" s="2">
        <v>92121</v>
      </c>
      <c r="J608" s="2" t="s">
        <v>8</v>
      </c>
      <c r="K608" s="2" t="s">
        <v>3488</v>
      </c>
      <c r="L608" s="2" t="s">
        <v>382</v>
      </c>
      <c r="M608" s="2" t="s">
        <v>26</v>
      </c>
      <c r="N608" s="2" t="s">
        <v>26</v>
      </c>
      <c r="O608" s="2" t="s">
        <v>26</v>
      </c>
      <c r="P608" s="8" t="s">
        <v>11</v>
      </c>
      <c r="Q608" s="2" t="s">
        <v>26</v>
      </c>
      <c r="R608" s="2" t="s">
        <v>26</v>
      </c>
    </row>
    <row r="609" spans="1:18" x14ac:dyDescent="0.3">
      <c r="A609" s="1" t="s">
        <v>3489</v>
      </c>
      <c r="B609" s="2" t="s">
        <v>3490</v>
      </c>
      <c r="C609" s="2" t="s">
        <v>3491</v>
      </c>
      <c r="D609" s="2" t="s">
        <v>3492</v>
      </c>
      <c r="E609" s="2" t="s">
        <v>3493</v>
      </c>
      <c r="F609" s="2"/>
      <c r="G609" s="2" t="s">
        <v>1283</v>
      </c>
      <c r="H609" s="2" t="s">
        <v>74</v>
      </c>
      <c r="I609" s="2">
        <v>117284</v>
      </c>
      <c r="J609" s="2" t="s">
        <v>1283</v>
      </c>
      <c r="K609" s="2" t="s">
        <v>3494</v>
      </c>
      <c r="L609" s="2">
        <v>16302544911</v>
      </c>
      <c r="M609" s="2" t="s">
        <v>26</v>
      </c>
      <c r="N609" s="2" t="s">
        <v>26</v>
      </c>
      <c r="O609" s="2" t="s">
        <v>26</v>
      </c>
      <c r="P609" s="2" t="s">
        <v>26</v>
      </c>
      <c r="Q609" s="8" t="s">
        <v>11</v>
      </c>
      <c r="R609" s="2" t="s">
        <v>26</v>
      </c>
    </row>
    <row r="610" spans="1:18" x14ac:dyDescent="0.3">
      <c r="A610" s="1" t="s">
        <v>3495</v>
      </c>
      <c r="B610" s="2" t="s">
        <v>3496</v>
      </c>
      <c r="C610" s="2" t="s">
        <v>3497</v>
      </c>
      <c r="D610" s="2" t="s">
        <v>3498</v>
      </c>
      <c r="E610" s="2" t="s">
        <v>3499</v>
      </c>
      <c r="F610" s="2"/>
      <c r="G610" s="2" t="s">
        <v>116</v>
      </c>
      <c r="H610" s="2" t="s">
        <v>17</v>
      </c>
      <c r="I610" s="2">
        <v>92037</v>
      </c>
      <c r="J610" s="2" t="s">
        <v>8</v>
      </c>
      <c r="K610" s="2" t="s">
        <v>3500</v>
      </c>
      <c r="L610" s="2" t="s">
        <v>3501</v>
      </c>
      <c r="M610" s="2" t="s">
        <v>26</v>
      </c>
      <c r="N610" s="2" t="s">
        <v>26</v>
      </c>
      <c r="O610" s="2" t="s">
        <v>26</v>
      </c>
      <c r="P610" s="2" t="s">
        <v>26</v>
      </c>
      <c r="Q610" s="8" t="s">
        <v>11</v>
      </c>
      <c r="R610" s="2" t="s">
        <v>26</v>
      </c>
    </row>
    <row r="611" spans="1:18" x14ac:dyDescent="0.3">
      <c r="A611" s="1" t="s">
        <v>3364</v>
      </c>
      <c r="B611" s="2" t="s">
        <v>679</v>
      </c>
      <c r="C611" s="2" t="s">
        <v>3502</v>
      </c>
      <c r="D611" s="2" t="s">
        <v>3503</v>
      </c>
      <c r="E611" s="2" t="s">
        <v>3504</v>
      </c>
      <c r="F611" s="2"/>
      <c r="G611" s="2" t="s">
        <v>16</v>
      </c>
      <c r="H611" s="2" t="s">
        <v>17</v>
      </c>
      <c r="I611" s="2">
        <v>92121</v>
      </c>
      <c r="J611" s="2" t="s">
        <v>8</v>
      </c>
      <c r="K611" s="2" t="s">
        <v>3505</v>
      </c>
      <c r="L611" s="2">
        <v>8588003101</v>
      </c>
      <c r="M611" s="2" t="s">
        <v>26</v>
      </c>
      <c r="N611" s="8" t="s">
        <v>11</v>
      </c>
      <c r="O611" s="2" t="s">
        <v>26</v>
      </c>
      <c r="P611" s="2" t="s">
        <v>26</v>
      </c>
      <c r="Q611" s="2" t="s">
        <v>26</v>
      </c>
      <c r="R611" s="2" t="s">
        <v>26</v>
      </c>
    </row>
    <row r="612" spans="1:18" x14ac:dyDescent="0.3">
      <c r="A612" s="1" t="s">
        <v>3506</v>
      </c>
      <c r="B612" s="2" t="s">
        <v>701</v>
      </c>
      <c r="C612" s="2" t="s">
        <v>29</v>
      </c>
      <c r="D612" s="2" t="s">
        <v>3077</v>
      </c>
      <c r="E612" s="2" t="s">
        <v>3507</v>
      </c>
      <c r="F612" s="2" t="s">
        <v>3508</v>
      </c>
      <c r="G612" s="2" t="s">
        <v>124</v>
      </c>
      <c r="H612" s="2" t="s">
        <v>125</v>
      </c>
      <c r="I612" s="2">
        <v>0</v>
      </c>
      <c r="J612" s="2" t="s">
        <v>8</v>
      </c>
      <c r="K612" s="2" t="s">
        <v>3509</v>
      </c>
      <c r="L612" s="2">
        <f>1-7738869702</f>
        <v>-7738869701</v>
      </c>
      <c r="M612" s="2" t="s">
        <v>26</v>
      </c>
      <c r="N612" s="2" t="s">
        <v>26</v>
      </c>
      <c r="O612" s="8" t="s">
        <v>11</v>
      </c>
      <c r="P612" s="2" t="s">
        <v>26</v>
      </c>
      <c r="Q612" s="2" t="s">
        <v>26</v>
      </c>
      <c r="R612" s="2" t="s">
        <v>26</v>
      </c>
    </row>
    <row r="613" spans="1:18" x14ac:dyDescent="0.3">
      <c r="A613" s="1" t="s">
        <v>3510</v>
      </c>
      <c r="B613" s="2" t="s">
        <v>679</v>
      </c>
      <c r="C613" s="2" t="s">
        <v>29</v>
      </c>
      <c r="D613" s="2" t="s">
        <v>1579</v>
      </c>
      <c r="E613" s="2" t="s">
        <v>3511</v>
      </c>
      <c r="F613" s="2"/>
      <c r="G613" s="2" t="s">
        <v>1400</v>
      </c>
      <c r="H613" s="2" t="s">
        <v>74</v>
      </c>
      <c r="I613" s="2">
        <v>999077</v>
      </c>
      <c r="J613" s="2" t="s">
        <v>1400</v>
      </c>
      <c r="K613" s="2" t="s">
        <v>3512</v>
      </c>
      <c r="L613" s="2">
        <v>62708772</v>
      </c>
      <c r="M613" s="2" t="s">
        <v>26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</row>
    <row r="614" spans="1:18" x14ac:dyDescent="0.3">
      <c r="A614" s="1" t="s">
        <v>3513</v>
      </c>
      <c r="B614" s="2" t="s">
        <v>3514</v>
      </c>
      <c r="C614" s="2" t="s">
        <v>505</v>
      </c>
      <c r="D614" s="2" t="s">
        <v>506</v>
      </c>
      <c r="E614" s="2" t="s">
        <v>3515</v>
      </c>
      <c r="F614" s="2"/>
      <c r="G614" s="2" t="s">
        <v>1620</v>
      </c>
      <c r="H614" s="2" t="s">
        <v>74</v>
      </c>
      <c r="I614" s="2">
        <v>200241</v>
      </c>
      <c r="J614" s="2" t="s">
        <v>509</v>
      </c>
      <c r="K614" s="2" t="s">
        <v>3516</v>
      </c>
      <c r="L614" s="2">
        <f>44-1382660338</f>
        <v>-1382660294</v>
      </c>
      <c r="M614" s="2" t="s">
        <v>26</v>
      </c>
      <c r="N614" s="2" t="s">
        <v>26</v>
      </c>
      <c r="O614" s="2" t="s">
        <v>26</v>
      </c>
      <c r="P614" s="8" t="s">
        <v>11</v>
      </c>
      <c r="Q614" s="2" t="s">
        <v>26</v>
      </c>
      <c r="R614" s="2" t="s">
        <v>26</v>
      </c>
    </row>
    <row r="615" spans="1:18" x14ac:dyDescent="0.3">
      <c r="A615" s="1" t="s">
        <v>3517</v>
      </c>
      <c r="B615" s="2" t="s">
        <v>433</v>
      </c>
      <c r="C615" s="2" t="s">
        <v>3518</v>
      </c>
      <c r="D615" s="2" t="s">
        <v>3519</v>
      </c>
      <c r="E615" s="2" t="s">
        <v>3520</v>
      </c>
      <c r="F615" s="2">
        <v>304</v>
      </c>
      <c r="G615" s="2" t="s">
        <v>3521</v>
      </c>
      <c r="H615" s="2" t="s">
        <v>655</v>
      </c>
      <c r="I615" s="2">
        <v>22903</v>
      </c>
      <c r="J615" s="2" t="s">
        <v>8</v>
      </c>
      <c r="K615" s="2" t="s">
        <v>3522</v>
      </c>
      <c r="L615" s="2">
        <v>4342279245</v>
      </c>
      <c r="M615" s="2" t="s">
        <v>26</v>
      </c>
      <c r="N615" s="2" t="s">
        <v>26</v>
      </c>
      <c r="O615" s="8" t="s">
        <v>11</v>
      </c>
      <c r="P615" s="2" t="s">
        <v>26</v>
      </c>
      <c r="Q615" s="2" t="s">
        <v>26</v>
      </c>
      <c r="R615" s="2" t="s">
        <v>26</v>
      </c>
    </row>
    <row r="616" spans="1:18" x14ac:dyDescent="0.3">
      <c r="A616" s="1" t="s">
        <v>3523</v>
      </c>
      <c r="B616" s="2" t="s">
        <v>679</v>
      </c>
      <c r="C616" s="2" t="s">
        <v>253</v>
      </c>
      <c r="D616" s="2" t="s">
        <v>3524</v>
      </c>
      <c r="E616" s="2" t="s">
        <v>3525</v>
      </c>
      <c r="F616" s="2"/>
      <c r="G616" s="2" t="s">
        <v>1120</v>
      </c>
      <c r="H616" s="2" t="s">
        <v>74</v>
      </c>
      <c r="I616" s="2">
        <v>518055</v>
      </c>
      <c r="J616" s="2" t="s">
        <v>509</v>
      </c>
      <c r="K616" s="2" t="s">
        <v>3526</v>
      </c>
      <c r="L616" s="2">
        <v>8613502884966</v>
      </c>
      <c r="M616" s="2" t="s">
        <v>26</v>
      </c>
      <c r="N616" s="2" t="s">
        <v>26</v>
      </c>
      <c r="O616" s="2" t="s">
        <v>26</v>
      </c>
      <c r="P616" s="2" t="s">
        <v>26</v>
      </c>
      <c r="Q616" s="2" t="s">
        <v>26</v>
      </c>
      <c r="R616" s="2" t="s">
        <v>26</v>
      </c>
    </row>
    <row r="617" spans="1:18" x14ac:dyDescent="0.3">
      <c r="A617" s="1" t="s">
        <v>3527</v>
      </c>
      <c r="B617" s="2" t="s">
        <v>3528</v>
      </c>
      <c r="C617" s="2" t="s">
        <v>3529</v>
      </c>
      <c r="D617" s="2" t="s">
        <v>3530</v>
      </c>
      <c r="E617" s="2" t="s">
        <v>3531</v>
      </c>
      <c r="F617" s="2"/>
      <c r="G617" s="2" t="s">
        <v>3532</v>
      </c>
      <c r="H617" s="2" t="s">
        <v>1486</v>
      </c>
      <c r="I617" s="2">
        <v>80003</v>
      </c>
      <c r="J617" s="2" t="s">
        <v>8</v>
      </c>
      <c r="K617" s="2" t="s">
        <v>3533</v>
      </c>
      <c r="L617" s="2" t="s">
        <v>3534</v>
      </c>
      <c r="M617" s="2" t="s">
        <v>26</v>
      </c>
      <c r="N617" s="2" t="s">
        <v>26</v>
      </c>
      <c r="O617" s="2" t="s">
        <v>26</v>
      </c>
      <c r="P617" s="8" t="s">
        <v>11</v>
      </c>
      <c r="Q617" s="2" t="s">
        <v>26</v>
      </c>
      <c r="R617" s="2" t="s">
        <v>26</v>
      </c>
    </row>
    <row r="618" spans="1:18" x14ac:dyDescent="0.3">
      <c r="A618" s="1" t="s">
        <v>3535</v>
      </c>
      <c r="B618" s="2" t="s">
        <v>3536</v>
      </c>
      <c r="C618" s="2" t="s">
        <v>3537</v>
      </c>
      <c r="D618" s="2" t="s">
        <v>3538</v>
      </c>
      <c r="E618" s="2" t="s">
        <v>3539</v>
      </c>
      <c r="F618" s="2" t="s">
        <v>3540</v>
      </c>
      <c r="G618" s="2" t="s">
        <v>16</v>
      </c>
      <c r="H618" s="2" t="s">
        <v>17</v>
      </c>
      <c r="I618" s="2">
        <v>92121</v>
      </c>
      <c r="J618" s="2" t="s">
        <v>8</v>
      </c>
      <c r="K618" s="2" t="s">
        <v>3541</v>
      </c>
      <c r="L618" s="2">
        <v>4089925307</v>
      </c>
      <c r="M618" s="2" t="s">
        <v>26</v>
      </c>
      <c r="N618" s="2" t="s">
        <v>26</v>
      </c>
      <c r="O618" s="2" t="s">
        <v>26</v>
      </c>
      <c r="P618" s="8" t="s">
        <v>11</v>
      </c>
      <c r="Q618" s="2" t="s">
        <v>26</v>
      </c>
      <c r="R618" s="2" t="s">
        <v>26</v>
      </c>
    </row>
    <row r="619" spans="1:18" ht="15" thickBot="1" x14ac:dyDescent="0.35">
      <c r="A619" s="3" t="s">
        <v>3535</v>
      </c>
      <c r="B619" s="4" t="s">
        <v>3542</v>
      </c>
      <c r="C619" s="4" t="s">
        <v>3543</v>
      </c>
      <c r="D619" s="4" t="s">
        <v>3544</v>
      </c>
      <c r="E619" s="4" t="s">
        <v>1882</v>
      </c>
      <c r="F619" s="4"/>
      <c r="G619" s="4" t="s">
        <v>292</v>
      </c>
      <c r="H619" s="4" t="s">
        <v>293</v>
      </c>
      <c r="I619" s="4" t="s">
        <v>849</v>
      </c>
      <c r="J619" s="4" t="s">
        <v>98</v>
      </c>
      <c r="K619" s="4" t="s">
        <v>3545</v>
      </c>
      <c r="L619" s="4">
        <v>15879833003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Cline</dc:creator>
  <cp:lastModifiedBy>Lauren Cline</cp:lastModifiedBy>
  <dcterms:created xsi:type="dcterms:W3CDTF">2025-09-09T15:46:58Z</dcterms:created>
  <dcterms:modified xsi:type="dcterms:W3CDTF">2025-09-09T15:52:36Z</dcterms:modified>
</cp:coreProperties>
</file>